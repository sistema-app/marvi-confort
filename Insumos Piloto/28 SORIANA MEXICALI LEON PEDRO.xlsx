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ROBACIONES\Jazmin Juarez\Leon Pedro\38 SORIANA MEXICALI\"/>
    </mc:Choice>
  </mc:AlternateContent>
  <xr:revisionPtr revIDLastSave="0" documentId="13_ncr:1_{618D3EAA-1489-4EF5-9AA6-FD53BB1465CC}" xr6:coauthVersionLast="47" xr6:coauthVersionMax="47" xr10:uidLastSave="{00000000-0000-0000-0000-000000000000}"/>
  <bookViews>
    <workbookView xWindow="-108" yWindow="-108" windowWidth="23256" windowHeight="12456" xr2:uid="{19FBA5D8-948A-4CD5-8236-4FA4C2F4FD74}"/>
  </bookViews>
  <sheets>
    <sheet name="38" sheetId="1" r:id="rId1"/>
  </sheets>
  <definedNames>
    <definedName name="_xlnm._FilterDatabase" localSheetId="0" hidden="1">'38'!$A$4:$P$11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" i="1" l="1"/>
  <c r="K13" i="1"/>
  <c r="J13" i="1"/>
  <c r="I13" i="1"/>
  <c r="G13" i="1"/>
  <c r="H13" i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M13" i="1" l="1"/>
</calcChain>
</file>

<file path=xl/sharedStrings.xml><?xml version="1.0" encoding="utf-8"?>
<sst xmlns="http://schemas.openxmlformats.org/spreadsheetml/2006/main" count="76" uniqueCount="47">
  <si>
    <t>COMPROBACION DE GASTOS MARVI CONFORT DE MEXICO 2026 DEL 27 DE MAYO,SORIANA SORIANA MEXICALI, LEON PEDRO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</si>
  <si>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</si>
  <si>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</si>
  <si>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</si>
  <si>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</si>
  <si>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</si>
  <si>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</si>
  <si>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</si>
  <si>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</si>
  <si>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</si>
  <si>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</si>
  <si>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</si>
  <si>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</si>
  <si>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</si>
  <si>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</si>
  <si>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</si>
  <si>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RFC</t>
  </si>
  <si>
    <t>SI</t>
  </si>
  <si>
    <t>1BA653B8-42BB-479C-B30E-C59BA8BA738D</t>
  </si>
  <si>
    <t>TIENDAS FIX</t>
  </si>
  <si>
    <t>LEON PEDRO</t>
  </si>
  <si>
    <t>SORIANA MEXICALI</t>
  </si>
  <si>
    <t>Tarjeta de Crédito</t>
  </si>
  <si>
    <t>DISCO ABRASIVO DE CORTE PRECISO</t>
  </si>
  <si>
    <t>9a1b5a16-62f0-49f4-85ba-19643b0ffa6f</t>
  </si>
  <si>
    <t>TIENDAS SORIANA SA DE CV</t>
  </si>
  <si>
    <t>Efectivo</t>
  </si>
  <si>
    <t>HIELO KING ICE BOLSA 5 KG</t>
  </si>
  <si>
    <t>77FA173D-40BC-44D2-B01F-1AA231CF2697</t>
  </si>
  <si>
    <t>LONA DE POLIETILENO</t>
  </si>
  <si>
    <t>164D493E-92A4-46D8-A662-DA096FD93633</t>
  </si>
  <si>
    <t>HOME DEPOT MEXICO</t>
  </si>
  <si>
    <t>HIDRO 220 SOBRE DE 150GRS RINDE 20</t>
  </si>
  <si>
    <t>664c0b89-4c24-43dc-ba33-02cef10abe52</t>
  </si>
  <si>
    <t>Tarjeta de Debito</t>
  </si>
  <si>
    <t>AGUA NATURAL BONAFONT 6LT</t>
  </si>
  <si>
    <t>8567b3be-7ea2-4976-9800-74be63f05063</t>
  </si>
  <si>
    <t>CADENA COMERCIAL OXXO</t>
  </si>
  <si>
    <t>AGUA PURIFICADA 5GL</t>
  </si>
  <si>
    <t>f94dfab9-989f-4778-8a3b-8492ddfb2072</t>
  </si>
  <si>
    <t>GASTOS NO DEDUCIBLES</t>
  </si>
  <si>
    <t>NO</t>
  </si>
  <si>
    <t>RECIBO ELECTRONICO</t>
  </si>
  <si>
    <t>SME051013BQ2</t>
  </si>
  <si>
    <t>TSO991022PB6</t>
  </si>
  <si>
    <t>HDM001017AS1</t>
  </si>
  <si>
    <t>CCO8605231N4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</si>
</sst>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2" applyFont="1" applyFill="1"/>
    <xf numFmtId="44" fontId="0" fillId="0" borderId="0" xfId="2" applyFont="1"/>
    <xf numFmtId="43" fontId="0" fillId="0" borderId="0" xfId="0" applyNumberFormat="1"/>
    <xf numFmtId="0" fontId="0" fillId="0" borderId="0" xfId="0" applyAlignment="1">
      <alignment horizontal="left" vertical="center"/>
    </xf>
    <xf numFmtId="44" fontId="0" fillId="0" borderId="0" xfId="0" applyNumberFormat="1"/>
    <xf numFmtId="0" fontId="0" fillId="0" borderId="0" xfId="0" applyAlignment="1">
      <alignment horizontal="left"/>
    </xf>
    <xf numFmtId="43" fontId="0" fillId="0" borderId="10" xfId="0" applyNumberFormat="1" applyBorder="1"/>
    <xf numFmtId="44" fontId="0" fillId="0" borderId="10" xfId="2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B8B7-0AB9-4588-BD2F-95A2E7669183}">
  <dimension ref="A2:Q32"/>
  <sheetViews>
    <sheetView tabSelected="1" topLeftCell="F1" zoomScale="90" zoomScaleNormal="90" workbookViewId="0">
      <selection activeCell="P10" sqref="P10"/>
    </sheetView>
  </sheetViews>
  <sheetFormatPr baseColWidth="10" defaultRowHeight="14.4" x14ac:dyDescent="0.3"/>
  <cols>
    <col min="1" max="1" width="11.77734375" bestFit="1" customWidth="1"/>
    <col min="2" max="2" width="13.44140625" bestFit="1" customWidth="1"/>
    <col min="3" max="3" width="43.44140625" customWidth="1"/>
    <col min="4" max="4" width="44.44140625" customWidth="1"/>
    <col min="5" max="5" width="17.44140625" customWidth="1"/>
    <col min="6" max="6" width="24.109375" customWidth="1"/>
    <col min="7" max="7" width="14.44140625" customWidth="1"/>
    <col min="8" max="8" width="11.44140625" customWidth="1"/>
    <col min="9" max="9" width="11.5546875" customWidth="1"/>
    <col min="10" max="10" width="11" customWidth="1"/>
    <col min="11" max="11" width="18" customWidth="1"/>
    <col min="12" max="12" width="11.44140625" customWidth="1"/>
    <col min="13" max="13" width="12.44140625" bestFit="1" customWidth="1"/>
    <col min="14" max="14" width="33.5546875" bestFit="1" customWidth="1"/>
    <col min="15" max="15" width="51.5546875" bestFit="1" customWidth="1"/>
    <col min="16" max="16" width="16.77734375" bestFit="1" customWidth="1"/>
  </cols>
  <sheetData>
    <row r="2" spans="1:17" ht="15" thickBot="1" x14ac:dyDescent="0.35"/>
    <row r="3" spans="1:17" ht="24" thickBot="1" x14ac:dyDescent="0.5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7" ht="16.2" thickBot="1" x14ac:dyDescent="0.35">
      <c r="A4" s="5" t="s">
        <v>1</v>
      </c>
      <c r="B4" s="6" t="s">
        <v>2</v>
      </c>
      <c r="C4" s="6" t="s">
        <v>3</v>
      </c>
      <c r="D4" s="7" t="s">
        <v>4</v>
      </c>
      <c r="E4" s="7" t="s">
        <v>5</v>
      </c>
      <c r="F4" s="8" t="s">
        <v>6</v>
      </c>
      <c r="G4" s="9" t="s">
        <v>7</v>
      </c>
      <c r="H4" s="9" t="s">
        <v>8</v>
      </c>
      <c r="I4" s="9" t="s">
        <v>9</v>
      </c>
      <c r="J4" s="10" t="s">
        <v>10</v>
      </c>
      <c r="K4" s="11" t="s">
        <v>11</v>
      </c>
      <c r="L4" s="11" t="s">
        <v>12</v>
      </c>
      <c r="M4" s="11" t="s">
        <v>13</v>
      </c>
      <c r="N4" s="12" t="s">
        <v>14</v>
      </c>
      <c r="O4" s="12" t="s">
        <v>15</v>
      </c>
      <c r="P4" s="13" t="s">
        <v>16</v>
      </c>
      <c r="Q4" s="14"/>
    </row>
    <row r="5" spans="1:17" x14ac:dyDescent="0.3">
      <c r="A5" s="15">
        <v>46169</v>
      </c>
      <c r="B5" s="16" t="s">
        <v>17</v>
      </c>
      <c r="C5" s="16" t="s">
        <v>18</v>
      </c>
      <c r="D5" t="s">
        <v>19</v>
      </c>
      <c r="E5" s="16" t="s">
        <v>20</v>
      </c>
      <c r="F5" s="16" t="s">
        <v>21</v>
      </c>
      <c r="G5" s="17">
        <v>749.81</v>
      </c>
      <c r="H5" s="17">
        <v>59.99</v>
      </c>
      <c r="I5" s="18"/>
      <c r="J5" s="19"/>
      <c r="K5" s="17"/>
      <c r="L5" s="19">
        <f>+IF(O5="HOSPEDAJE",ROUND(G5*0.04,2),0)</f>
        <v>0</v>
      </c>
      <c r="M5" s="19">
        <f>G5+H5+L5-K5-J5-I5</f>
        <v>809.8</v>
      </c>
      <c r="N5" t="s">
        <v>22</v>
      </c>
      <c r="O5" t="s">
        <v>23</v>
      </c>
      <c r="P5" s="16" t="s">
        <v>43</v>
      </c>
    </row>
    <row r="6" spans="1:17" x14ac:dyDescent="0.3">
      <c r="A6" s="15">
        <v>46169</v>
      </c>
      <c r="B6" s="16" t="s">
        <v>17</v>
      </c>
      <c r="C6" s="16" t="s">
        <v>24</v>
      </c>
      <c r="D6" s="20" t="s">
        <v>25</v>
      </c>
      <c r="E6" s="16" t="s">
        <v>20</v>
      </c>
      <c r="F6" s="16" t="s">
        <v>21</v>
      </c>
      <c r="G6" s="17">
        <v>49.93</v>
      </c>
      <c r="H6" s="17">
        <v>1.47</v>
      </c>
      <c r="I6" s="18"/>
      <c r="J6" s="19"/>
      <c r="K6" s="17"/>
      <c r="L6" s="19">
        <f>+IF(O6="HOSPEDAJE",ROUND(G6*0.04,2),0)</f>
        <v>0</v>
      </c>
      <c r="M6" s="19">
        <f t="shared" ref="M6:M11" si="0">G6+H6+L6-K6-J6-I6</f>
        <v>51.4</v>
      </c>
      <c r="N6" t="s">
        <v>26</v>
      </c>
      <c r="O6" t="s">
        <v>27</v>
      </c>
      <c r="P6" s="16" t="s">
        <v>44</v>
      </c>
    </row>
    <row r="7" spans="1:17" x14ac:dyDescent="0.3">
      <c r="A7" s="15">
        <v>46169</v>
      </c>
      <c r="B7" s="16" t="s">
        <v>17</v>
      </c>
      <c r="C7" s="16" t="s">
        <v>28</v>
      </c>
      <c r="D7" t="s">
        <v>19</v>
      </c>
      <c r="E7" s="16" t="s">
        <v>20</v>
      </c>
      <c r="F7" s="16" t="s">
        <v>21</v>
      </c>
      <c r="G7" s="17">
        <v>375</v>
      </c>
      <c r="H7" s="17">
        <v>30</v>
      </c>
      <c r="I7" s="18"/>
      <c r="J7" s="19"/>
      <c r="K7" s="17"/>
      <c r="L7" s="19">
        <f>+IF(O7="HOSPEDAJE",ROUND(G7*0.04,2),0)</f>
        <v>0</v>
      </c>
      <c r="M7" s="19">
        <f t="shared" si="0"/>
        <v>405</v>
      </c>
      <c r="N7" t="s">
        <v>22</v>
      </c>
      <c r="O7" t="s">
        <v>29</v>
      </c>
      <c r="P7" s="16" t="s">
        <v>43</v>
      </c>
    </row>
    <row r="8" spans="1:17" x14ac:dyDescent="0.3">
      <c r="A8" s="15">
        <v>46167</v>
      </c>
      <c r="B8" s="16" t="s">
        <v>17</v>
      </c>
      <c r="C8" s="16" t="s">
        <v>30</v>
      </c>
      <c r="D8" s="20" t="s">
        <v>31</v>
      </c>
      <c r="E8" s="16" t="s">
        <v>20</v>
      </c>
      <c r="F8" s="16" t="s">
        <v>21</v>
      </c>
      <c r="G8" s="17">
        <v>469.44</v>
      </c>
      <c r="H8" s="17">
        <v>37.56</v>
      </c>
      <c r="I8" s="18"/>
      <c r="J8" s="19"/>
      <c r="K8" s="17"/>
      <c r="L8" s="19">
        <f>+IF(O8="HOSPEDAJE",ROUND(G8*0.04,2),0)</f>
        <v>0</v>
      </c>
      <c r="M8" s="19">
        <f t="shared" si="0"/>
        <v>507</v>
      </c>
      <c r="N8" t="s">
        <v>22</v>
      </c>
      <c r="O8" t="s">
        <v>32</v>
      </c>
      <c r="P8" s="16" t="s">
        <v>45</v>
      </c>
    </row>
    <row r="9" spans="1:17" x14ac:dyDescent="0.3">
      <c r="A9" s="15">
        <v>46169</v>
      </c>
      <c r="B9" s="16" t="s">
        <v>17</v>
      </c>
      <c r="C9" s="16" t="s">
        <v>33</v>
      </c>
      <c r="D9" s="20" t="s">
        <v>25</v>
      </c>
      <c r="E9" s="16" t="s">
        <v>20</v>
      </c>
      <c r="F9" s="16" t="s">
        <v>21</v>
      </c>
      <c r="G9" s="17">
        <v>125.8</v>
      </c>
      <c r="H9" s="17">
        <v>0</v>
      </c>
      <c r="I9" s="18"/>
      <c r="J9" s="19"/>
      <c r="K9" s="17"/>
      <c r="L9" s="19">
        <f>+IF(O9="HOSPEDAJE",ROUND(G9*0.04,2),0)</f>
        <v>0</v>
      </c>
      <c r="M9" s="19">
        <f t="shared" si="0"/>
        <v>125.8</v>
      </c>
      <c r="N9" t="s">
        <v>34</v>
      </c>
      <c r="O9" t="s">
        <v>35</v>
      </c>
      <c r="P9" s="16" t="s">
        <v>44</v>
      </c>
    </row>
    <row r="10" spans="1:17" x14ac:dyDescent="0.3">
      <c r="A10" s="15">
        <v>46169</v>
      </c>
      <c r="B10" s="16" t="s">
        <v>17</v>
      </c>
      <c r="C10" s="16" t="s">
        <v>36</v>
      </c>
      <c r="D10" s="20" t="s">
        <v>37</v>
      </c>
      <c r="E10" s="16" t="s">
        <v>20</v>
      </c>
      <c r="F10" s="16" t="s">
        <v>21</v>
      </c>
      <c r="G10" s="17">
        <v>22</v>
      </c>
      <c r="H10" s="17">
        <v>0</v>
      </c>
      <c r="I10" s="18"/>
      <c r="J10" s="19"/>
      <c r="K10" s="17"/>
      <c r="L10" s="19">
        <f t="shared" ref="L10:L11" si="1">+IF(O10="HOSPEDAJE",ROUND(G10*0.04,2),0)</f>
        <v>0</v>
      </c>
      <c r="M10" s="19">
        <f t="shared" si="0"/>
        <v>22</v>
      </c>
      <c r="N10" t="s">
        <v>26</v>
      </c>
      <c r="O10" t="s">
        <v>38</v>
      </c>
      <c r="P10" s="16" t="s">
        <v>46</v>
      </c>
    </row>
    <row r="11" spans="1:17" x14ac:dyDescent="0.3">
      <c r="A11" s="15">
        <v>46169</v>
      </c>
      <c r="B11" s="16" t="s">
        <v>17</v>
      </c>
      <c r="C11" s="16" t="s">
        <v>39</v>
      </c>
      <c r="D11" s="20" t="s">
        <v>37</v>
      </c>
      <c r="E11" s="16" t="s">
        <v>20</v>
      </c>
      <c r="F11" s="16" t="s">
        <v>21</v>
      </c>
      <c r="G11" s="17">
        <v>22</v>
      </c>
      <c r="H11" s="17">
        <v>0</v>
      </c>
      <c r="I11" s="18"/>
      <c r="J11" s="19"/>
      <c r="K11" s="17"/>
      <c r="L11" s="19">
        <f t="shared" si="1"/>
        <v>0</v>
      </c>
      <c r="M11" s="19">
        <f t="shared" si="0"/>
        <v>22</v>
      </c>
      <c r="N11" t="s">
        <v>26</v>
      </c>
      <c r="O11" t="s">
        <v>38</v>
      </c>
      <c r="P11" s="16" t="s">
        <v>46</v>
      </c>
    </row>
    <row r="12" spans="1:17" x14ac:dyDescent="0.3">
      <c r="A12" s="15"/>
      <c r="B12" s="16"/>
      <c r="C12" s="22"/>
      <c r="D12" s="20"/>
      <c r="F12" s="16"/>
      <c r="G12" s="18"/>
      <c r="H12" s="18"/>
      <c r="I12" s="19"/>
      <c r="J12" s="19"/>
      <c r="K12" s="19"/>
      <c r="L12" s="19"/>
      <c r="M12" s="19"/>
      <c r="P12" s="16"/>
    </row>
    <row r="13" spans="1:17" ht="15" thickBot="1" x14ac:dyDescent="0.35">
      <c r="A13" s="15"/>
      <c r="G13" s="23">
        <f>SUM(G5:G12)</f>
        <v>1813.9799999999998</v>
      </c>
      <c r="H13" s="23">
        <f>+SUM(H5:H12)</f>
        <v>129.02000000000001</v>
      </c>
      <c r="I13" s="23">
        <f>SUM(I5:I12)</f>
        <v>0</v>
      </c>
      <c r="J13" s="23">
        <f>SUM(J5:J12)</f>
        <v>0</v>
      </c>
      <c r="K13" s="23">
        <f>SUM(K5:K12)</f>
        <v>0</v>
      </c>
      <c r="L13" s="23"/>
      <c r="M13" s="24">
        <f>SUM(M5:M12)</f>
        <v>1942.9999999999998</v>
      </c>
    </row>
    <row r="14" spans="1:17" ht="15" thickTop="1" x14ac:dyDescent="0.3">
      <c r="A14" s="15"/>
      <c r="L14" s="19"/>
      <c r="M14" s="19"/>
    </row>
    <row r="15" spans="1:17" x14ac:dyDescent="0.3">
      <c r="A15" s="15"/>
      <c r="I15" s="19"/>
      <c r="K15" s="19"/>
      <c r="N15" s="21"/>
    </row>
    <row r="16" spans="1:17" x14ac:dyDescent="0.3">
      <c r="A16" s="15"/>
      <c r="M16" s="19"/>
      <c r="N16" s="21"/>
    </row>
    <row r="17" spans="1:15" x14ac:dyDescent="0.3">
      <c r="A17" s="15"/>
      <c r="M17" s="18"/>
    </row>
    <row r="18" spans="1:15" x14ac:dyDescent="0.3">
      <c r="A18" s="15"/>
      <c r="N18" s="21"/>
    </row>
    <row r="19" spans="1:15" ht="18" x14ac:dyDescent="0.35">
      <c r="B19" s="16"/>
      <c r="D19" s="25" t="s">
        <v>40</v>
      </c>
    </row>
    <row r="20" spans="1:15" x14ac:dyDescent="0.3">
      <c r="A20" s="15">
        <v>46168</v>
      </c>
      <c r="B20" s="26" t="s">
        <v>41</v>
      </c>
      <c r="C20" s="16" t="s">
        <v>42</v>
      </c>
      <c r="D20" s="16"/>
      <c r="M20" s="17"/>
      <c r="O20" s="21"/>
    </row>
    <row r="21" spans="1:15" x14ac:dyDescent="0.3">
      <c r="A21" s="15"/>
      <c r="B21" s="26"/>
      <c r="C21" s="16"/>
      <c r="D21" s="26"/>
      <c r="M21" s="17"/>
      <c r="O21" s="21"/>
    </row>
    <row r="22" spans="1:15" x14ac:dyDescent="0.3">
      <c r="A22" s="15"/>
      <c r="M22" s="18"/>
    </row>
    <row r="23" spans="1:15" ht="15" thickBot="1" x14ac:dyDescent="0.35">
      <c r="A23" s="15"/>
      <c r="M23" s="24">
        <f>SUM(M20:M22)</f>
        <v>0</v>
      </c>
    </row>
    <row r="24" spans="1:15" ht="15" thickTop="1" x14ac:dyDescent="0.3"/>
    <row r="28" spans="1:15" x14ac:dyDescent="0.3">
      <c r="M28" s="21"/>
    </row>
    <row r="29" spans="1:15" x14ac:dyDescent="0.3">
      <c r="M29" s="21"/>
    </row>
    <row r="32" spans="1:15" x14ac:dyDescent="0.3">
      <c r="M32" s="21"/>
    </row>
  </sheetData>
  <autoFilter ref="A4:P11" xr:uid="{80918894-B22B-4793-B37F-615F84A636C6}"/>
  <mergeCells count="1">
    <mergeCell ref="B3:O3"/>
  </mergeCells>
  <conditionalFormatting sqref="C20">
    <cfRule type="duplicateValues" dxfId="5" priority="15"/>
    <cfRule type="duplicateValues" dxfId="4" priority="16"/>
  </conditionalFormatting>
  <conditionalFormatting sqref="C5:C1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jazmin.marviconfort@gmail.com</dc:creator>
  <cp:lastModifiedBy>jazmin.marviconfort@gmail.com</cp:lastModifiedBy>
  <dcterms:created xsi:type="dcterms:W3CDTF">2026-05-28T01:14:40Z</dcterms:created>
  <dcterms:modified xsi:type="dcterms:W3CDTF">2026-05-28T01:15:54Z</dcterms:modified>
</cp:coreProperties>
</file>