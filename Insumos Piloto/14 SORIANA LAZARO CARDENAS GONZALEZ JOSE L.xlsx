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ROBACIONES\Jazmin Juarez\Gonzalez Jose Luis\14 SORIANA LAZARO CARDENAS\"/>
    </mc:Choice>
  </mc:AlternateContent>
  <xr:revisionPtr revIDLastSave="0" documentId="13_ncr:1_{E44BDEB2-8206-4C72-B84F-6A429601B4CC}" xr6:coauthVersionLast="47" xr6:coauthVersionMax="47" xr10:uidLastSave="{00000000-0000-0000-0000-000000000000}"/>
  <bookViews>
    <workbookView xWindow="-108" yWindow="-108" windowWidth="23256" windowHeight="12456" xr2:uid="{9BA78296-F5D7-4ABE-BDDB-61A9B4B10BED}"/>
  </bookViews>
  <sheets>
    <sheet name="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1" i="1" l="1"/>
  <c r="K15" i="1"/>
  <c r="J15" i="1"/>
  <c r="I15" i="1"/>
  <c r="G15" i="1"/>
  <c r="L13" i="1"/>
  <c r="M13" i="1" s="1"/>
  <c r="L12" i="1"/>
  <c r="M12" i="1" s="1"/>
  <c r="L11" i="1"/>
  <c r="H11" i="1"/>
  <c r="L10" i="1"/>
  <c r="M10" i="1" s="1"/>
  <c r="L9" i="1"/>
  <c r="M9" i="1" s="1"/>
  <c r="L8" i="1"/>
  <c r="M8" i="1" s="1"/>
  <c r="L7" i="1"/>
  <c r="H7" i="1"/>
  <c r="M7" i="1" s="1"/>
  <c r="L6" i="1"/>
  <c r="M6" i="1" s="1"/>
  <c r="L5" i="1"/>
  <c r="L15" i="1" l="1"/>
  <c r="H15" i="1"/>
  <c r="M11" i="1"/>
  <c r="M5" i="1"/>
  <c r="M15" i="1" s="1"/>
</calcChain>
</file>

<file path=xl/sharedStrings.xml><?xml version="1.0" encoding="utf-8"?>
<sst xmlns="http://schemas.openxmlformats.org/spreadsheetml/2006/main" count="92" uniqueCount="43">
  <si>
    <t>COMPROBACION DE GASTOS MARVI CONFORT DE MEXICO 2026 DEL 01 DE JUNIO, SORIANA LAZARO CARDENAS, GONZALEZ JOSE LUIS</t>
  </si>
  <si>
    <t>FECHA</t>
  </si>
  <si>
    <t>DEDUCIBLE</t>
  </si>
  <si>
    <t xml:space="preserve">FACTURA </t>
  </si>
  <si>
    <t xml:space="preserve">PROVEEDOR </t>
  </si>
  <si>
    <t xml:space="preserve">TRABAJADOR </t>
  </si>
  <si>
    <t xml:space="preserve">OBRA </t>
  </si>
  <si>
    <t>SUBTOTAL</t>
  </si>
  <si>
    <t xml:space="preserve">IVA </t>
  </si>
  <si>
    <t>RET IVA.</t>
  </si>
  <si>
    <t>RET ISR</t>
  </si>
  <si>
    <t>DESCUENTOS</t>
  </si>
  <si>
    <t>ISH</t>
  </si>
  <si>
    <t>TOTAL</t>
  </si>
  <si>
    <t>TIPO DE PAGO</t>
  </si>
  <si>
    <t>DESCRIPCION</t>
  </si>
  <si>
    <t>RFC</t>
  </si>
  <si>
    <t>SI</t>
  </si>
  <si>
    <t>006e516c-3b40-4323-af46-224144ee3132</t>
  </si>
  <si>
    <t>TIENDAS SORIANA SA DE CV</t>
  </si>
  <si>
    <t>GONZALEZ JOSE LUIS</t>
  </si>
  <si>
    <t>SORIANA LAZARO CARDENAS</t>
  </si>
  <si>
    <t>Tarjeta de Debito</t>
  </si>
  <si>
    <t>HIELO CUPATR 5KG</t>
  </si>
  <si>
    <t>65f2edc5-acc5-41ff-b7bd-03ce34734376</t>
  </si>
  <si>
    <t>Efectivo</t>
  </si>
  <si>
    <t>MARCADOR PERMANENTE C/2 SHARPI</t>
  </si>
  <si>
    <t>273BF1EF-BE3A-2743-881B-03487688EFCB</t>
  </si>
  <si>
    <t>HIPOLITO RANGEL BALCAZAR</t>
  </si>
  <si>
    <t>PLASTICO NEGRO DE 6 MTS ANCHO CAL.600 MICRAS MET</t>
  </si>
  <si>
    <t>01864f43-d1b5-4117-a5f5-3c5501df7480</t>
  </si>
  <si>
    <t>AGUA NATURAL EPURA 10LT BOT</t>
  </si>
  <si>
    <t>08896b89-0ba7-453b-b912-7c22a4b0b954</t>
  </si>
  <si>
    <t>886780ca-de2a-4897-817a-97b209b364da</t>
  </si>
  <si>
    <t>a6145d86-1db7-4d22-8ae5-80fad815b6b9</t>
  </si>
  <si>
    <t>BROCHA 4 PRECISSIMO PZA</t>
  </si>
  <si>
    <t>c57aa375-0ac7-47d0-94fe-f982d741480d</t>
  </si>
  <si>
    <t>e177882d-ca81-46f1-afd9-91b9f610763f</t>
  </si>
  <si>
    <t>NO DEDUCIBLES</t>
  </si>
  <si>
    <t>NO</t>
  </si>
  <si>
    <t>VALE AZUL</t>
  </si>
  <si>
    <t>TSO991022PB6</t>
  </si>
  <si>
    <t>RABH580519460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</si>
</sst>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_-;\-* #,##0.00_-;_-* &quot;-&quot;??_-;_-@"/>
    <numFmt numFmtId="165" formatCode="General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name val="Helv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5" fillId="0" borderId="0"/>
  </cellStyleXfs>
  <cellXfs count="34">
    <xf numFmtId="0" fontId="0" fillId="0" borderId="0" xfId="0"/>
    <xf numFmtId="0" fontId="2" fillId="0" borderId="0" xfId="0" applyFont="1"/>
    <xf numFmtId="14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43" fontId="4" fillId="0" borderId="6" xfId="1" applyFont="1" applyFill="1" applyBorder="1" applyAlignment="1">
      <alignment horizontal="center" vertical="center"/>
    </xf>
    <xf numFmtId="43" fontId="4" fillId="0" borderId="7" xfId="1" applyFont="1" applyFill="1" applyBorder="1" applyAlignment="1">
      <alignment horizontal="center" vertical="center"/>
    </xf>
    <xf numFmtId="43" fontId="4" fillId="0" borderId="8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0" xfId="2" applyFont="1" applyAlignment="1">
      <alignment vertical="center"/>
    </xf>
    <xf numFmtId="43" fontId="0" fillId="0" borderId="0" xfId="0" applyNumberFormat="1" applyAlignment="1">
      <alignment horizontal="center" vertical="center"/>
    </xf>
    <xf numFmtId="44" fontId="0" fillId="0" borderId="0" xfId="2" applyFont="1" applyFill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0" fillId="0" borderId="0" xfId="2" applyFont="1" applyAlignment="1"/>
    <xf numFmtId="43" fontId="0" fillId="0" borderId="0" xfId="0" applyNumberFormat="1"/>
    <xf numFmtId="44" fontId="0" fillId="0" borderId="0" xfId="2" applyFont="1"/>
    <xf numFmtId="44" fontId="0" fillId="0" borderId="0" xfId="2" applyFont="1" applyFill="1" applyAlignmen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43" fontId="0" fillId="0" borderId="10" xfId="0" applyNumberFormat="1" applyBorder="1"/>
    <xf numFmtId="44" fontId="6" fillId="0" borderId="0" xfId="3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4" fontId="0" fillId="0" borderId="0" xfId="2" applyFont="1" applyFill="1"/>
    <xf numFmtId="8" fontId="0" fillId="0" borderId="0" xfId="0" applyNumberFormat="1"/>
    <xf numFmtId="44" fontId="0" fillId="0" borderId="10" xfId="0" applyNumberForma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Normal_REPGASTO" xfId="3" xr:uid="{F0400172-6F57-4D4F-815C-BC80C953C5D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8E9A-5E21-4181-9FD1-0B1C065A0912}">
  <dimension ref="A2:P28"/>
  <sheetViews>
    <sheetView tabSelected="1" topLeftCell="E1" zoomScaleNormal="100" workbookViewId="0">
      <selection activeCell="I23" sqref="I23"/>
    </sheetView>
  </sheetViews>
  <sheetFormatPr baseColWidth="10" defaultRowHeight="14.4" x14ac:dyDescent="0.3"/>
  <cols>
    <col min="1" max="1" width="12.21875" bestFit="1" customWidth="1"/>
    <col min="2" max="2" width="13.44140625" bestFit="1" customWidth="1"/>
    <col min="3" max="3" width="42.21875" bestFit="1" customWidth="1"/>
    <col min="4" max="4" width="42.77734375" bestFit="1" customWidth="1"/>
    <col min="5" max="5" width="22" bestFit="1" customWidth="1"/>
    <col min="6" max="6" width="24.88671875" bestFit="1" customWidth="1"/>
    <col min="7" max="7" width="14.21875" bestFit="1" customWidth="1"/>
    <col min="8" max="8" width="11.21875" bestFit="1" customWidth="1"/>
    <col min="9" max="9" width="11.77734375" bestFit="1" customWidth="1"/>
    <col min="10" max="10" width="11" bestFit="1" customWidth="1"/>
    <col min="11" max="11" width="18" bestFit="1" customWidth="1"/>
    <col min="12" max="12" width="10" bestFit="1" customWidth="1"/>
    <col min="13" max="13" width="11.21875" bestFit="1" customWidth="1"/>
    <col min="14" max="14" width="33.77734375" bestFit="1" customWidth="1"/>
    <col min="15" max="15" width="50.44140625" bestFit="1" customWidth="1"/>
    <col min="16" max="16" width="14.5546875" bestFit="1" customWidth="1"/>
  </cols>
  <sheetData>
    <row r="2" spans="1:16" ht="15" thickBot="1" x14ac:dyDescent="0.35"/>
    <row r="3" spans="1:16" ht="24" thickBot="1" x14ac:dyDescent="0.5">
      <c r="A3" s="1"/>
      <c r="B3" s="31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3"/>
    </row>
    <row r="4" spans="1:16" ht="16.2" thickBot="1" x14ac:dyDescent="0.35">
      <c r="A4" s="2" t="s">
        <v>1</v>
      </c>
      <c r="B4" s="3" t="s">
        <v>2</v>
      </c>
      <c r="C4" s="3" t="s">
        <v>3</v>
      </c>
      <c r="D4" s="4" t="s">
        <v>4</v>
      </c>
      <c r="E4" s="4" t="s">
        <v>5</v>
      </c>
      <c r="F4" s="5" t="s">
        <v>6</v>
      </c>
      <c r="G4" s="6" t="s">
        <v>7</v>
      </c>
      <c r="H4" s="6" t="s">
        <v>8</v>
      </c>
      <c r="I4" s="6" t="s">
        <v>9</v>
      </c>
      <c r="J4" s="7" t="s">
        <v>10</v>
      </c>
      <c r="K4" s="8" t="s">
        <v>11</v>
      </c>
      <c r="L4" s="8" t="s">
        <v>12</v>
      </c>
      <c r="M4" s="8" t="s">
        <v>13</v>
      </c>
      <c r="N4" s="9" t="s">
        <v>14</v>
      </c>
      <c r="O4" s="9" t="s">
        <v>15</v>
      </c>
      <c r="P4" s="10" t="s">
        <v>16</v>
      </c>
    </row>
    <row r="5" spans="1:16" x14ac:dyDescent="0.3">
      <c r="A5" s="11">
        <v>46174</v>
      </c>
      <c r="B5" s="12" t="s">
        <v>17</v>
      </c>
      <c r="C5" s="12" t="s">
        <v>18</v>
      </c>
      <c r="D5" s="13" t="s">
        <v>19</v>
      </c>
      <c r="E5" s="12" t="s">
        <v>20</v>
      </c>
      <c r="F5" s="12" t="s">
        <v>21</v>
      </c>
      <c r="G5" s="14">
        <v>30.5</v>
      </c>
      <c r="H5" s="14">
        <v>0</v>
      </c>
      <c r="I5" s="15">
        <v>0</v>
      </c>
      <c r="J5" s="15">
        <v>0</v>
      </c>
      <c r="K5" s="15"/>
      <c r="L5" s="15">
        <f>IF(O5="HOSPEDAJE",G5*0.04,0)</f>
        <v>0</v>
      </c>
      <c r="M5" s="16">
        <f>G5+H5+L5-K5-J5-I5</f>
        <v>30.5</v>
      </c>
      <c r="N5" t="s">
        <v>22</v>
      </c>
      <c r="O5" t="s">
        <v>23</v>
      </c>
      <c r="P5" s="12" t="s">
        <v>41</v>
      </c>
    </row>
    <row r="6" spans="1:16" x14ac:dyDescent="0.3">
      <c r="A6" s="11">
        <v>46171</v>
      </c>
      <c r="B6" s="12" t="s">
        <v>17</v>
      </c>
      <c r="C6" s="12" t="s">
        <v>24</v>
      </c>
      <c r="D6" s="13" t="s">
        <v>19</v>
      </c>
      <c r="E6" s="12" t="s">
        <v>20</v>
      </c>
      <c r="F6" s="12" t="s">
        <v>21</v>
      </c>
      <c r="G6" s="14">
        <v>33.53</v>
      </c>
      <c r="H6" s="14">
        <v>5.37</v>
      </c>
      <c r="I6" s="15">
        <v>0</v>
      </c>
      <c r="J6" s="15">
        <v>0</v>
      </c>
      <c r="K6" s="15"/>
      <c r="L6" s="15">
        <f t="shared" ref="L6:L13" si="0">IF(O6="HOSPEDAJE",G6*0.04,0)</f>
        <v>0</v>
      </c>
      <c r="M6" s="16">
        <f t="shared" ref="M6:M13" si="1">G6+H6+L6-K6-J6-I6</f>
        <v>38.9</v>
      </c>
      <c r="N6" s="13" t="s">
        <v>25</v>
      </c>
      <c r="O6" t="s">
        <v>26</v>
      </c>
      <c r="P6" s="12" t="s">
        <v>41</v>
      </c>
    </row>
    <row r="7" spans="1:16" x14ac:dyDescent="0.3">
      <c r="A7" s="11">
        <v>46172</v>
      </c>
      <c r="B7" s="12" t="s">
        <v>17</v>
      </c>
      <c r="C7" s="12" t="s">
        <v>27</v>
      </c>
      <c r="D7" t="s">
        <v>28</v>
      </c>
      <c r="E7" s="12" t="s">
        <v>20</v>
      </c>
      <c r="F7" s="12" t="s">
        <v>21</v>
      </c>
      <c r="G7" s="14">
        <v>413.79</v>
      </c>
      <c r="H7" s="14">
        <f t="shared" ref="H7" si="2">ROUND((G7-K7)*0.16,2)</f>
        <v>66.209999999999994</v>
      </c>
      <c r="I7" s="15">
        <v>0</v>
      </c>
      <c r="J7" s="15">
        <v>0</v>
      </c>
      <c r="K7" s="17"/>
      <c r="L7" s="15">
        <f t="shared" si="0"/>
        <v>0</v>
      </c>
      <c r="M7" s="16">
        <f>G7+H7+L7-K7-J7-I7</f>
        <v>480</v>
      </c>
      <c r="N7" s="13" t="s">
        <v>25</v>
      </c>
      <c r="O7" t="s">
        <v>29</v>
      </c>
      <c r="P7" s="12" t="s">
        <v>42</v>
      </c>
    </row>
    <row r="8" spans="1:16" x14ac:dyDescent="0.3">
      <c r="A8" s="11">
        <v>46170</v>
      </c>
      <c r="B8" s="12" t="s">
        <v>17</v>
      </c>
      <c r="C8" s="12" t="s">
        <v>30</v>
      </c>
      <c r="D8" s="13" t="s">
        <v>19</v>
      </c>
      <c r="E8" s="12" t="s">
        <v>20</v>
      </c>
      <c r="F8" s="12" t="s">
        <v>21</v>
      </c>
      <c r="G8" s="14">
        <v>105.9</v>
      </c>
      <c r="H8" s="14">
        <v>0</v>
      </c>
      <c r="I8" s="15">
        <v>0</v>
      </c>
      <c r="J8" s="15">
        <v>0</v>
      </c>
      <c r="K8" s="15"/>
      <c r="L8" s="15">
        <f t="shared" si="0"/>
        <v>0</v>
      </c>
      <c r="M8" s="16">
        <f t="shared" si="1"/>
        <v>105.9</v>
      </c>
      <c r="N8" s="13" t="s">
        <v>25</v>
      </c>
      <c r="O8" t="s">
        <v>31</v>
      </c>
      <c r="P8" s="12" t="s">
        <v>41</v>
      </c>
    </row>
    <row r="9" spans="1:16" x14ac:dyDescent="0.3">
      <c r="A9" s="11">
        <v>46171</v>
      </c>
      <c r="B9" s="12" t="s">
        <v>17</v>
      </c>
      <c r="C9" s="12" t="s">
        <v>32</v>
      </c>
      <c r="D9" s="13" t="s">
        <v>19</v>
      </c>
      <c r="E9" s="12" t="s">
        <v>20</v>
      </c>
      <c r="F9" s="12" t="s">
        <v>21</v>
      </c>
      <c r="G9" s="18">
        <v>105.9</v>
      </c>
      <c r="H9" s="14">
        <v>0</v>
      </c>
      <c r="I9" s="19">
        <v>0</v>
      </c>
      <c r="J9" s="15">
        <v>0</v>
      </c>
      <c r="K9" s="19"/>
      <c r="L9" s="15">
        <f t="shared" si="0"/>
        <v>0</v>
      </c>
      <c r="M9" s="16">
        <f>G9+H9+L9-K9-J9-I9</f>
        <v>105.9</v>
      </c>
      <c r="N9" t="s">
        <v>22</v>
      </c>
      <c r="O9" t="s">
        <v>31</v>
      </c>
      <c r="P9" s="12" t="s">
        <v>41</v>
      </c>
    </row>
    <row r="10" spans="1:16" x14ac:dyDescent="0.3">
      <c r="A10" s="11">
        <v>46169</v>
      </c>
      <c r="B10" s="12" t="s">
        <v>17</v>
      </c>
      <c r="C10" s="12" t="s">
        <v>33</v>
      </c>
      <c r="D10" s="13" t="s">
        <v>19</v>
      </c>
      <c r="E10" s="12" t="s">
        <v>20</v>
      </c>
      <c r="F10" s="12" t="s">
        <v>21</v>
      </c>
      <c r="G10" s="18">
        <v>30.5</v>
      </c>
      <c r="H10" s="14">
        <v>0</v>
      </c>
      <c r="I10" s="19">
        <v>0</v>
      </c>
      <c r="J10" s="15">
        <v>0</v>
      </c>
      <c r="K10" s="20"/>
      <c r="L10" s="15">
        <f t="shared" si="0"/>
        <v>0</v>
      </c>
      <c r="M10" s="16">
        <f t="shared" si="1"/>
        <v>30.5</v>
      </c>
      <c r="N10" s="13" t="s">
        <v>25</v>
      </c>
      <c r="O10" t="s">
        <v>23</v>
      </c>
      <c r="P10" s="12" t="s">
        <v>41</v>
      </c>
    </row>
    <row r="11" spans="1:16" x14ac:dyDescent="0.3">
      <c r="A11" s="11">
        <v>46168</v>
      </c>
      <c r="B11" s="12" t="s">
        <v>17</v>
      </c>
      <c r="C11" s="12" t="s">
        <v>34</v>
      </c>
      <c r="D11" s="13" t="s">
        <v>19</v>
      </c>
      <c r="E11" s="12" t="s">
        <v>20</v>
      </c>
      <c r="F11" s="12" t="s">
        <v>21</v>
      </c>
      <c r="G11" s="18">
        <v>68.790000000000006</v>
      </c>
      <c r="H11" s="14">
        <f>ROUND((G11-K11)*0.16,2)</f>
        <v>11.01</v>
      </c>
      <c r="I11" s="19">
        <v>0</v>
      </c>
      <c r="J11" s="15">
        <v>0</v>
      </c>
      <c r="K11" s="19"/>
      <c r="L11" s="15">
        <f t="shared" si="0"/>
        <v>0</v>
      </c>
      <c r="M11" s="16">
        <f t="shared" si="1"/>
        <v>79.800000000000011</v>
      </c>
      <c r="N11" s="13" t="s">
        <v>25</v>
      </c>
      <c r="O11" t="s">
        <v>35</v>
      </c>
      <c r="P11" s="12" t="s">
        <v>41</v>
      </c>
    </row>
    <row r="12" spans="1:16" x14ac:dyDescent="0.3">
      <c r="A12" s="11">
        <v>46169</v>
      </c>
      <c r="B12" s="12" t="s">
        <v>17</v>
      </c>
      <c r="C12" s="12" t="s">
        <v>36</v>
      </c>
      <c r="D12" s="13" t="s">
        <v>19</v>
      </c>
      <c r="E12" s="12" t="s">
        <v>20</v>
      </c>
      <c r="F12" s="12" t="s">
        <v>21</v>
      </c>
      <c r="G12" s="21">
        <v>75.400000000000006</v>
      </c>
      <c r="H12" s="14">
        <v>0</v>
      </c>
      <c r="I12" s="19">
        <v>0</v>
      </c>
      <c r="J12" s="15">
        <v>0</v>
      </c>
      <c r="K12" s="19"/>
      <c r="L12" s="15">
        <f t="shared" si="0"/>
        <v>0</v>
      </c>
      <c r="M12" s="16">
        <f t="shared" si="1"/>
        <v>75.400000000000006</v>
      </c>
      <c r="N12" s="13" t="s">
        <v>25</v>
      </c>
      <c r="O12" t="s">
        <v>31</v>
      </c>
      <c r="P12" s="12" t="s">
        <v>41</v>
      </c>
    </row>
    <row r="13" spans="1:16" x14ac:dyDescent="0.3">
      <c r="A13" s="11">
        <v>46172</v>
      </c>
      <c r="B13" s="12" t="s">
        <v>17</v>
      </c>
      <c r="C13" s="12" t="s">
        <v>37</v>
      </c>
      <c r="D13" s="13" t="s">
        <v>19</v>
      </c>
      <c r="E13" s="12" t="s">
        <v>20</v>
      </c>
      <c r="F13" s="12" t="s">
        <v>21</v>
      </c>
      <c r="G13" s="21">
        <v>54.5</v>
      </c>
      <c r="H13" s="14">
        <v>0</v>
      </c>
      <c r="I13" s="19">
        <v>0</v>
      </c>
      <c r="J13" s="15">
        <v>0</v>
      </c>
      <c r="K13" s="19"/>
      <c r="L13" s="15">
        <f t="shared" si="0"/>
        <v>0</v>
      </c>
      <c r="M13" s="16">
        <f t="shared" si="1"/>
        <v>54.5</v>
      </c>
      <c r="N13" t="s">
        <v>22</v>
      </c>
      <c r="O13" t="s">
        <v>31</v>
      </c>
      <c r="P13" s="12" t="s">
        <v>41</v>
      </c>
    </row>
    <row r="14" spans="1:16" x14ac:dyDescent="0.3">
      <c r="A14" s="23"/>
      <c r="B14" s="12"/>
      <c r="C14" s="22"/>
      <c r="E14" s="12"/>
      <c r="G14" s="20"/>
      <c r="H14" s="20"/>
      <c r="I14" s="19"/>
      <c r="J14" s="19"/>
      <c r="K14" s="19"/>
      <c r="L14" s="19"/>
      <c r="M14" s="19"/>
      <c r="P14" s="12"/>
    </row>
    <row r="15" spans="1:16" ht="16.2" thickBot="1" x14ac:dyDescent="0.35">
      <c r="F15" s="24"/>
      <c r="G15" s="25">
        <f t="shared" ref="G15:M15" si="3">SUM(G5:G14)</f>
        <v>918.81</v>
      </c>
      <c r="H15" s="25">
        <f t="shared" si="3"/>
        <v>82.59</v>
      </c>
      <c r="I15" s="25">
        <f t="shared" si="3"/>
        <v>0</v>
      </c>
      <c r="J15" s="25">
        <f t="shared" si="3"/>
        <v>0</v>
      </c>
      <c r="K15" s="25">
        <f t="shared" si="3"/>
        <v>0</v>
      </c>
      <c r="L15" s="25">
        <f t="shared" si="3"/>
        <v>0</v>
      </c>
      <c r="M15" s="25">
        <f t="shared" si="3"/>
        <v>1001.4</v>
      </c>
      <c r="N15" s="26"/>
      <c r="O15" s="19"/>
    </row>
    <row r="16" spans="1:16" ht="15" thickTop="1" x14ac:dyDescent="0.3">
      <c r="K16" s="20"/>
      <c r="M16" s="19"/>
    </row>
    <row r="17" spans="1:13" x14ac:dyDescent="0.3">
      <c r="A17" s="12"/>
    </row>
    <row r="18" spans="1:13" ht="18" x14ac:dyDescent="0.3">
      <c r="A18" s="12"/>
      <c r="D18" s="27" t="s">
        <v>38</v>
      </c>
      <c r="M18" s="19"/>
    </row>
    <row r="19" spans="1:13" x14ac:dyDescent="0.3">
      <c r="A19" s="11">
        <v>46160</v>
      </c>
      <c r="B19" s="11" t="s">
        <v>39</v>
      </c>
      <c r="C19" s="12" t="s">
        <v>40</v>
      </c>
      <c r="D19" s="12"/>
      <c r="M19" s="28"/>
    </row>
    <row r="20" spans="1:13" x14ac:dyDescent="0.3">
      <c r="M20" s="29"/>
    </row>
    <row r="21" spans="1:13" ht="15" thickBot="1" x14ac:dyDescent="0.35">
      <c r="A21" s="11"/>
      <c r="B21" s="11"/>
      <c r="M21" s="30">
        <f>+SUM(M19:M19)</f>
        <v>0</v>
      </c>
    </row>
    <row r="22" spans="1:13" ht="15" thickTop="1" x14ac:dyDescent="0.3">
      <c r="A22" s="11"/>
      <c r="B22" s="11"/>
      <c r="M22" s="29"/>
    </row>
    <row r="23" spans="1:13" x14ac:dyDescent="0.3">
      <c r="A23" s="11"/>
      <c r="M23" s="29"/>
    </row>
    <row r="24" spans="1:13" x14ac:dyDescent="0.3">
      <c r="A24" s="11"/>
      <c r="M24" s="29"/>
    </row>
    <row r="25" spans="1:13" x14ac:dyDescent="0.3">
      <c r="A25" s="11"/>
    </row>
    <row r="26" spans="1:13" x14ac:dyDescent="0.3">
      <c r="A26" s="11"/>
    </row>
    <row r="27" spans="1:13" x14ac:dyDescent="0.3">
      <c r="A27" s="11"/>
    </row>
    <row r="28" spans="1:13" x14ac:dyDescent="0.3">
      <c r="A28" s="11"/>
    </row>
  </sheetData>
  <mergeCells count="1">
    <mergeCell ref="B3:O3"/>
  </mergeCells>
  <conditionalFormatting sqref="D19">
    <cfRule type="duplicateValues" dxfId="1" priority="3"/>
    <cfRule type="duplicateValues" dxfId="0" priority="4"/>
  </conditionalFormatting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jazmin.marviconfort@gmail.com</dc:creator>
  <cp:lastModifiedBy>jazmin.marviconfort@gmail.com</cp:lastModifiedBy>
  <dcterms:created xsi:type="dcterms:W3CDTF">2026-06-01T19:28:31Z</dcterms:created>
  <dcterms:modified xsi:type="dcterms:W3CDTF">2026-06-01T19:35:21Z</dcterms:modified>
</cp:coreProperties>
</file>