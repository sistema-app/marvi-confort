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than.lopez\Documents\Python\Master Web\Marvi-Confort\Insumos Piloto\"/>
    </mc:Choice>
  </mc:AlternateContent>
  <xr:revisionPtr revIDLastSave="0" documentId="13_ncr:1_{12B80E33-F139-4D20-A816-59DB83698469}" xr6:coauthVersionLast="36" xr6:coauthVersionMax="36" xr10:uidLastSave="{00000000-0000-0000-0000-000000000000}"/>
  <bookViews>
    <workbookView xWindow="0" yWindow="0" windowWidth="28800" windowHeight="12105" activeTab="1" xr2:uid="{763851A9-34F4-4FA6-BAD1-ED7794981195}"/>
  </bookViews>
  <sheets>
    <sheet name="OBRAS" sheetId="3" r:id="rId1"/>
    <sheet name="COMPROBACION_GASTOS" sheetId="1" r:id="rId2"/>
    <sheet name="LOGS" sheetId="2" r:id="rId3"/>
  </sheets>
  <definedNames>
    <definedName name="_xlnm._FilterDatabase" localSheetId="1" hidden="1">COMPROBACION_GASTOS!$A$1:$S$82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8" i="1" l="1"/>
  <c r="N88" i="1" s="1"/>
  <c r="M87" i="1"/>
  <c r="I87" i="1"/>
  <c r="N87" i="1" s="1"/>
  <c r="M86" i="1"/>
  <c r="N86" i="1" s="1"/>
  <c r="M85" i="1"/>
  <c r="I85" i="1"/>
  <c r="N85" i="1" s="1"/>
  <c r="M84" i="1"/>
  <c r="I84" i="1"/>
  <c r="N84" i="1" s="1"/>
  <c r="M82" i="1" l="1"/>
  <c r="N82" i="1" s="1"/>
  <c r="M81" i="1"/>
  <c r="N81" i="1" s="1"/>
  <c r="M80" i="1"/>
  <c r="N80" i="1" s="1"/>
  <c r="M79" i="1"/>
  <c r="N79" i="1" s="1"/>
  <c r="M78" i="1"/>
  <c r="N78" i="1" s="1"/>
  <c r="M77" i="1"/>
  <c r="N77" i="1" s="1"/>
  <c r="M76" i="1"/>
  <c r="N76" i="1" s="1"/>
  <c r="N62" i="1" l="1"/>
  <c r="N61" i="1"/>
  <c r="N60" i="1"/>
  <c r="N59" i="1"/>
  <c r="I54" i="1" l="1"/>
  <c r="I53" i="1"/>
  <c r="I52" i="1"/>
  <c r="M46" i="1" l="1"/>
  <c r="N46" i="1" s="1"/>
  <c r="M45" i="1"/>
  <c r="I45" i="1"/>
  <c r="M44" i="1"/>
  <c r="N44" i="1" s="1"/>
  <c r="M43" i="1"/>
  <c r="I43" i="1"/>
  <c r="M42" i="1"/>
  <c r="I42" i="1"/>
  <c r="N42" i="1" l="1"/>
  <c r="N45" i="1"/>
  <c r="N43" i="1"/>
  <c r="N39" i="1" l="1"/>
  <c r="I38" i="1"/>
  <c r="N38" i="1" s="1"/>
  <c r="I37" i="1"/>
  <c r="N37" i="1" s="1"/>
  <c r="I36" i="1"/>
  <c r="N36" i="1" s="1"/>
  <c r="I35" i="1"/>
  <c r="N35" i="1" s="1"/>
  <c r="N34" i="1"/>
  <c r="I33" i="1"/>
  <c r="N33" i="1" s="1"/>
  <c r="I32" i="1"/>
  <c r="N32" i="1" s="1"/>
  <c r="I31" i="1"/>
  <c r="N31" i="1" s="1"/>
  <c r="N30" i="1"/>
  <c r="I29" i="1"/>
  <c r="N29" i="1" s="1"/>
  <c r="I28" i="1"/>
  <c r="N28" i="1" s="1"/>
  <c r="I27" i="1"/>
  <c r="N27" i="1" s="1"/>
  <c r="I26" i="1"/>
  <c r="N26" i="1" s="1"/>
  <c r="I25" i="1"/>
  <c r="N25" i="1" s="1"/>
  <c r="I24" i="1"/>
  <c r="N24" i="1" s="1"/>
  <c r="I23" i="1"/>
  <c r="N23" i="1" s="1"/>
  <c r="N22" i="1"/>
  <c r="I21" i="1"/>
  <c r="N21" i="1" s="1"/>
  <c r="I20" i="1"/>
  <c r="N20" i="1" s="1"/>
  <c r="I19" i="1"/>
  <c r="N19" i="1" s="1"/>
  <c r="I18" i="1"/>
  <c r="N18" i="1" s="1"/>
  <c r="I17" i="1"/>
  <c r="N17" i="1" s="1"/>
  <c r="I16" i="1"/>
  <c r="N16" i="1" s="1"/>
  <c r="N15" i="1"/>
  <c r="N14" i="1"/>
  <c r="I13" i="1"/>
  <c r="N13" i="1" s="1"/>
  <c r="N12" i="1"/>
  <c r="M10" i="1" l="1"/>
  <c r="N10" i="1" s="1"/>
  <c r="M9" i="1"/>
  <c r="N9" i="1" s="1"/>
  <c r="M8" i="1"/>
  <c r="I8" i="1"/>
  <c r="M7" i="1"/>
  <c r="N7" i="1" s="1"/>
  <c r="M6" i="1"/>
  <c r="N6" i="1" s="1"/>
  <c r="M5" i="1"/>
  <c r="N5" i="1" s="1"/>
  <c r="M4" i="1"/>
  <c r="I4" i="1"/>
  <c r="M3" i="1"/>
  <c r="N3" i="1" s="1"/>
  <c r="M2" i="1"/>
  <c r="N2" i="1" s="1"/>
  <c r="N8" i="1" l="1"/>
  <c r="N4" i="1"/>
</calcChain>
</file>

<file path=xl/sharedStrings.xml><?xml version="1.0" encoding="utf-8"?>
<sst xmlns="http://schemas.openxmlformats.org/spreadsheetml/2006/main" count="858" uniqueCount="198">
  <si>
    <t>ID_COMPROBACION</t>
  </si>
  <si>
    <t>FECHA</t>
  </si>
  <si>
    <t>DEDUCIBLE</t>
  </si>
  <si>
    <t>FACTURA</t>
  </si>
  <si>
    <t>PROVEEDOR</t>
  </si>
  <si>
    <t>TRABAJADOR</t>
  </si>
  <si>
    <t>OBRA</t>
  </si>
  <si>
    <t>SUBTOTAL</t>
  </si>
  <si>
    <t>IVA</t>
  </si>
  <si>
    <t>RET_IVA</t>
  </si>
  <si>
    <t>RET_ISR</t>
  </si>
  <si>
    <t>DESCUENTO</t>
  </si>
  <si>
    <t>ISH</t>
  </si>
  <si>
    <t>TOTAL</t>
  </si>
  <si>
    <t>TIPO_DE_PAGO</t>
  </si>
  <si>
    <t>DESCRIPCION</t>
  </si>
  <si>
    <t>RFC</t>
  </si>
  <si>
    <t>ID_OBRA</t>
  </si>
  <si>
    <t>SI</t>
  </si>
  <si>
    <t>006e516c-3b40-4323-af46-224144ee3132</t>
  </si>
  <si>
    <t>TIENDAS SORIANA SA DE CV</t>
  </si>
  <si>
    <t>GONZALEZ JOSE LUIS</t>
  </si>
  <si>
    <t>SORIANA LAZARO CARDENAS</t>
  </si>
  <si>
    <t>Tarjeta de Debito</t>
  </si>
  <si>
    <t>HIELO CUPATR 5KG</t>
  </si>
  <si>
    <t>TSO991022PB6</t>
  </si>
  <si>
    <t>65f2edc5-acc5-41ff-b7bd-03ce34734376</t>
  </si>
  <si>
    <t>Efectivo</t>
  </si>
  <si>
    <t>MARCADOR PERMANENTE C/2 SHARPI</t>
  </si>
  <si>
    <t>273BF1EF-BE3A-2743-881B-03487688EFCB</t>
  </si>
  <si>
    <t>HIPOLITO RANGEL BALCAZAR</t>
  </si>
  <si>
    <t>PLASTICO NEGRO DE 6 MTS ANCHO CAL.600 MICRAS MET</t>
  </si>
  <si>
    <t>RABH580519460</t>
  </si>
  <si>
    <t>01864f43-d1b5-4117-a5f5-3c5501df7480</t>
  </si>
  <si>
    <t>AGUA NATURAL EPURA 10LT BOT</t>
  </si>
  <si>
    <t>08896b89-0ba7-453b-b912-7c22a4b0b954</t>
  </si>
  <si>
    <t>886780ca-de2a-4897-817a-97b209b364da</t>
  </si>
  <si>
    <t>a6145d86-1db7-4d22-8ae5-80fad815b6b9</t>
  </si>
  <si>
    <t>BROCHA 4 PRECISSIMO PZA</t>
  </si>
  <si>
    <t>c57aa375-0ac7-47d0-94fe-f982d741480d</t>
  </si>
  <si>
    <t>e177882d-ca81-46f1-afd9-91b9f610763f</t>
  </si>
  <si>
    <t>NO</t>
  </si>
  <si>
    <t>VALE AZUL</t>
  </si>
  <si>
    <t>-</t>
  </si>
  <si>
    <t>1afdca13-d40f-4447-be97-9fae4b1faf47</t>
  </si>
  <si>
    <t>RED DE CARRETERAS DE OCCIDENTE</t>
  </si>
  <si>
    <t>MONTOYA DAVID</t>
  </si>
  <si>
    <t>PEJAE</t>
  </si>
  <si>
    <t>RCO0708136F7</t>
  </si>
  <si>
    <t>2DA9E3CC-53C4-11F1-8F73-696BE3F37217</t>
  </si>
  <si>
    <t>AUTOPISTA ARCO NORTE</t>
  </si>
  <si>
    <t>AAN051220835</t>
  </si>
  <si>
    <t>2F1E6746-9FCC-4B33-8439-0C2A1CC9FF3D</t>
  </si>
  <si>
    <t>INFRA</t>
  </si>
  <si>
    <t>DISCO 778 PLANO CORTE METAL 4 1/2"1 MM</t>
  </si>
  <si>
    <t>INF891031LT4</t>
  </si>
  <si>
    <t>3A5AB344-245B-5BA6-9029-86F16864513F</t>
  </si>
  <si>
    <t>NOE BARRAGAN AREVALOS</t>
  </si>
  <si>
    <t>CONECT PVC HIDR. HEMBRA 1"</t>
  </si>
  <si>
    <t>BAAN8111106W7</t>
  </si>
  <si>
    <t>5A95B8CA-44C2-59A3-9313-053CC0277623</t>
  </si>
  <si>
    <t>FONDO NACIONAL DE INFRAESTRUCTURA</t>
  </si>
  <si>
    <t>FNI970829JR9</t>
  </si>
  <si>
    <t>5DCCA59F-2EE0-4F34-9528-924C38C660C8</t>
  </si>
  <si>
    <t>ACEROS EL PLATEADO</t>
  </si>
  <si>
    <t>TUERCA UNION PVC HID 1" PVC-973 45437</t>
  </si>
  <si>
    <t>APL9506051U3</t>
  </si>
  <si>
    <t>75E227B9-862C-47F2-B038-667D68AF7753</t>
  </si>
  <si>
    <t>FERREACEROS Y AGROEQUIPOS</t>
  </si>
  <si>
    <t>CODO 90 DE PVC DE 1, FOSET 45413</t>
  </si>
  <si>
    <t>FAG220606HU6</t>
  </si>
  <si>
    <t>79DA55D0-4D44-42AB-B9EB-A4207779EB15</t>
  </si>
  <si>
    <t>GERARDO MIGUEL VELAZQUEZ ZAMORA</t>
  </si>
  <si>
    <t>CABLE COBRE DESNUDO C-10 AWG</t>
  </si>
  <si>
    <t>VEZG5512097B8</t>
  </si>
  <si>
    <t>92C69FAF-213A-43A7-9718-87484CE9F4DC</t>
  </si>
  <si>
    <t>LAMINA GALV LISA .91X3.05 3'X10' C-20</t>
  </si>
  <si>
    <t>294BD3FF-0765-4698-93CB-35E7F9BD4820</t>
  </si>
  <si>
    <t>CABLE THW C-6 600V NEGRO</t>
  </si>
  <si>
    <t>997c7483-157d-42ec-beb1-5f3bd39caabc</t>
  </si>
  <si>
    <t>TRAMO CARRETERO ATLACOMULCO-MARAVATIO</t>
  </si>
  <si>
    <t>TCA870817BS2</t>
  </si>
  <si>
    <t>28517f5b-dd89-4bdb-a026-b7842ba0111f</t>
  </si>
  <si>
    <t>95111C1F-F132-4CDD-AA29-B890E69EBB17</t>
  </si>
  <si>
    <t>CONCESIONARIA DE AUTOPISTAS DE MICHOACAN</t>
  </si>
  <si>
    <t>CAM120131RD7</t>
  </si>
  <si>
    <t>A2002E64-1647-4EAE-B629-629486186BBF</t>
  </si>
  <si>
    <t>COLCHON INFLABLE INDIVIDUAL BE</t>
  </si>
  <si>
    <t>A6145D86-1DB7-4D22-8AE5-80FAD815B6B9</t>
  </si>
  <si>
    <t>AB187EC3-47A8-4992-B28A-4D7449301282</t>
  </si>
  <si>
    <t>CODO PVC 1" X 90° HID PVC-563 45413</t>
  </si>
  <si>
    <t>AC24AEF5-AE77-4311-B3F3-5F383D4311CB</t>
  </si>
  <si>
    <t>BF56A672-EFC3-4509-9896-C80B987BAF3B</t>
  </si>
  <si>
    <t>SUMINISTRO PARA LA INDUSTRIA DE MEXICO</t>
  </si>
  <si>
    <t>PIJA HEXAGONAL PUNTA BROCA C/RONDANA</t>
  </si>
  <si>
    <t>SIM071204EF9</t>
  </si>
  <si>
    <t>C47616A0-468C-4794-9440-A5BF7ED7FF57</t>
  </si>
  <si>
    <t>CONCESIONARIA MEXIQUENSE</t>
  </si>
  <si>
    <t>CME030219B64</t>
  </si>
  <si>
    <t>CD3B6361-9972-4A3F-B306-5BCF40E30CFD</t>
  </si>
  <si>
    <t>KENNY ALVAREZ CARRANZA</t>
  </si>
  <si>
    <t>CINTA TEFLON 3/4 X 7MTS SURTEK</t>
  </si>
  <si>
    <t>AACK83041657A</t>
  </si>
  <si>
    <t>CDC274C4-A084-457A-9A8D-9B9D2C51E38</t>
  </si>
  <si>
    <t>ESTRELLA DE ORO SA DE CV MEXICO-ACAPULCO-ZIHUATANEJO</t>
  </si>
  <si>
    <t>SERVICIO DE AUTOBUSES</t>
  </si>
  <si>
    <t>EOM540618KL1</t>
  </si>
  <si>
    <t>CFE4CC93-7EC1-4B9B-BE5A-2475CFDA07BD</t>
  </si>
  <si>
    <t>DESARROLLO GLOBAL DE CONCESIONES</t>
  </si>
  <si>
    <t>DGC170313257</t>
  </si>
  <si>
    <t>D86B7137-8400-551B-81D5-EE7CE598EBFE</t>
  </si>
  <si>
    <t>TUERCA UNION PVC HIDR. 1</t>
  </si>
  <si>
    <t>D823D544-4ABD-4176-A6D8-95AF55EFEF29</t>
  </si>
  <si>
    <t>CODO 90 DE PVC 1" FOSET 45413</t>
  </si>
  <si>
    <t>EB1C1568-F1D7-4DC8-9DFC-F6228588FB4A</t>
  </si>
  <si>
    <t>DISCO DE CORTE 4 1/2" X 1/16" (1.6MM) MCA</t>
  </si>
  <si>
    <t>FBADCB77-E828-40FC-9B3A-4B7DB60C4BA6</t>
  </si>
  <si>
    <t>RODILLO P/PINTAR MINI ROPI-410E 13903</t>
  </si>
  <si>
    <t>FC58019F-FF1A-4E34-98E3-865B523C3ADC</t>
  </si>
  <si>
    <t>TORNIBROCA 12X1"</t>
  </si>
  <si>
    <t>FE68AD4C-8105-4D29-A9A1-DA0D01418847</t>
  </si>
  <si>
    <t>TUERCA UNION LISA DE PVC 1, FOSET 45437</t>
  </si>
  <si>
    <t>ALAMBRE (NO SE FACTURO A MARVI)</t>
  </si>
  <si>
    <t>GUANTES DE LATEX (NO SE FACTURO A MARVI)</t>
  </si>
  <si>
    <t>ID_MOVIMIENTO</t>
  </si>
  <si>
    <t>TIPO_MOVIMIENTO</t>
  </si>
  <si>
    <t>USUARIO</t>
  </si>
  <si>
    <t>FECHA_HORA</t>
  </si>
  <si>
    <t>5f0aec6a-5d55-4db9-abea-a34cec664732</t>
  </si>
  <si>
    <t>CONCESIONARIA SANTA ANA ALTAR</t>
  </si>
  <si>
    <t>LEON PEDRO</t>
  </si>
  <si>
    <t>PEAJE PARA EL USO O GOCE DE LA CARRETERA</t>
  </si>
  <si>
    <t>CSA171003QCA</t>
  </si>
  <si>
    <t>6C820CD6-2DA5-5666-8754-4291DCDB5632</t>
  </si>
  <si>
    <t>SERVICIO DE PEAJE Y CRUCE CARRETERO MAGDALENA</t>
  </si>
  <si>
    <t>8EE085EE-06BE-E848-8A29-AF8248599C80</t>
  </si>
  <si>
    <t>ALMACENES DISTRIBUIDORES DE LA FRONTERA</t>
  </si>
  <si>
    <t>ACEITE P MOTOR MEX QUAKER</t>
  </si>
  <si>
    <t>ADF6908013Q9</t>
  </si>
  <si>
    <t>18a81919-5893-43b6-bf45-73809281f2f6</t>
  </si>
  <si>
    <t>FIDEICOMISO PUENTE COLORADO BANAMEX</t>
  </si>
  <si>
    <t>CASETA SAN LUIS RIO COLORADO CARRIL 3</t>
  </si>
  <si>
    <t>FPC000503R57</t>
  </si>
  <si>
    <t>70F38DCE-7D7B-461A-8E01-5C9BE30DD7C4</t>
  </si>
  <si>
    <t>LLANTAS Y SERVICIOS NEUMATIC</t>
  </si>
  <si>
    <t>ALINEACION</t>
  </si>
  <si>
    <t>LSN200601FQ2</t>
  </si>
  <si>
    <t>SORIANA CD JUAREZ</t>
  </si>
  <si>
    <t>TICKET</t>
  </si>
  <si>
    <t>GASOLINA</t>
  </si>
  <si>
    <t>GASOLINA (PAG EN EFECTIVO)</t>
  </si>
  <si>
    <t>08590F5D-8D8F-4F9E-8073-7E64AE206794</t>
  </si>
  <si>
    <t>TIENDAS FIX</t>
  </si>
  <si>
    <t>ALFREDO CISNEROS</t>
  </si>
  <si>
    <t>ADMINISTRATIVA</t>
  </si>
  <si>
    <t>CINTA PARA DUCTO</t>
  </si>
  <si>
    <t>SME051013BQ2</t>
  </si>
  <si>
    <t>94179DF3-DD5E-4207-B5D8-9026E6767223</t>
  </si>
  <si>
    <t>b1eda6e0-52ff-412f-8f6d-2b22eb0e8826</t>
  </si>
  <si>
    <t>MADELIM</t>
  </si>
  <si>
    <t>DESENGRASANTE DE PLANCHAS EN CALIENTE</t>
  </si>
  <si>
    <t>MAD030709I54</t>
  </si>
  <si>
    <t>ESTACIONAMIENTO</t>
  </si>
  <si>
    <t>Sin especificar</t>
  </si>
  <si>
    <t>1a8c4886-c2dd-4ae8-af27-89e5234374ba</t>
  </si>
  <si>
    <t>JAVIER DE LA ROSA</t>
  </si>
  <si>
    <t>SORIANA HIPER TORREON</t>
  </si>
  <si>
    <t>AGUA NATURAL EPURA 10 LT BOT</t>
  </si>
  <si>
    <t>46c677e5-03e3-44ec-bbf9-25bb7cba6d53</t>
  </si>
  <si>
    <t>189817b1-1515-49a0-9cd7-755fae46bf23</t>
  </si>
  <si>
    <t>CADENA COMERCIAL OXXO</t>
  </si>
  <si>
    <t>AGUA PURIFICADA EPURA 101 LTS</t>
  </si>
  <si>
    <t>CCO8605231N4</t>
  </si>
  <si>
    <t>bc4c8af5-4f2f-4cb6-a138-41099d79e4ac</t>
  </si>
  <si>
    <t>NOTA DE REMISION</t>
  </si>
  <si>
    <t>GASOLINA (SE PUDO HABER FACTURADO)</t>
  </si>
  <si>
    <t>COMPROBANTE DIGITAL</t>
  </si>
  <si>
    <t>UBER</t>
  </si>
  <si>
    <t>1BA653B8-42BB-479C-B30E-C59BA8BA738D</t>
  </si>
  <si>
    <t>SORIANA MEXICALI</t>
  </si>
  <si>
    <t>DISCO ABRASIVO DE CORTE PRECISO</t>
  </si>
  <si>
    <t>9a1b5a16-62f0-49f4-85ba-19643b0ffa6f</t>
  </si>
  <si>
    <t>HIELO KING ICE BOLSA 5 KG</t>
  </si>
  <si>
    <t>77FA173D-40BC-44D2-B01F-1AA231CF2697</t>
  </si>
  <si>
    <t>LONA DE POLIETILENO</t>
  </si>
  <si>
    <t>164D493E-92A4-46D8-A662-DA096FD93633</t>
  </si>
  <si>
    <t>HOME DEPOT MEXICO</t>
  </si>
  <si>
    <t>HIDRO 220 SOBRE DE 150GRS RINDE 20</t>
  </si>
  <si>
    <t>HDM001017AS1</t>
  </si>
  <si>
    <t>664c0b89-4c24-43dc-ba33-02cef10abe52</t>
  </si>
  <si>
    <t>AGUA NATURAL BONAFONT 6LT</t>
  </si>
  <si>
    <t>8567b3be-7ea2-4976-9800-74be63f05063</t>
  </si>
  <si>
    <t>AGUA PURIFICADA 5GL</t>
  </si>
  <si>
    <t>f94dfab9-989f-4778-8a3b-8492ddfb2072</t>
  </si>
  <si>
    <t>Tarjeta de debito</t>
  </si>
  <si>
    <t>Tarjeta de credito</t>
  </si>
  <si>
    <t>RECIBO ELECTRONICO</t>
  </si>
  <si>
    <t>DE CD JUAREZ A MEXICALI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</si>
</sst>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General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Helv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FFFF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164" fontId="3" fillId="0" borderId="0"/>
    <xf numFmtId="0" fontId="1" fillId="0" borderId="0"/>
  </cellStyleXfs>
  <cellXfs count="47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14" fontId="4" fillId="0" borderId="0" xfId="2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0" xfId="1" applyNumberFormat="1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/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4" fontId="6" fillId="0" borderId="0" xfId="3" applyNumberFormat="1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0" xfId="3" applyFont="1" applyAlignment="1">
      <alignment horizontal="center"/>
    </xf>
    <xf numFmtId="14" fontId="5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4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6" fillId="0" borderId="0" xfId="1" applyNumberFormat="1" applyFont="1" applyFill="1" applyBorder="1" applyAlignment="1">
      <alignment horizontal="center" vertical="center"/>
    </xf>
    <xf numFmtId="0" fontId="0" fillId="0" borderId="0" xfId="1" applyNumberFormat="1" applyFont="1" applyFill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8" fillId="0" borderId="0" xfId="1" applyNumberFormat="1" applyFon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3" fontId="0" fillId="0" borderId="0" xfId="0" applyNumberFormat="1" applyAlignment="1">
      <alignment horizontal="center" vertical="center"/>
    </xf>
  </cellXfs>
  <cellStyles count="4">
    <cellStyle name="Moneda" xfId="1" builtinId="4"/>
    <cellStyle name="Normal" xfId="0" builtinId="0"/>
    <cellStyle name="Normal 2" xfId="3" xr:uid="{DDD18B6A-2A98-4808-BE71-DCBA618BFD8E}"/>
    <cellStyle name="Normal_REPGASTO" xfId="2" xr:uid="{5122E61D-0245-45C2-B473-87BF76A31766}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54D52-AAE2-4F98-8F69-7D07EDCF6A3B}">
  <dimension ref="A1:B6"/>
  <sheetViews>
    <sheetView workbookViewId="0">
      <selection activeCell="A2" sqref="A2:B6"/>
    </sheetView>
  </sheetViews>
  <sheetFormatPr baseColWidth="10" defaultRowHeight="15" x14ac:dyDescent="0.25"/>
  <cols>
    <col min="1" max="1" width="9" style="23" bestFit="1" customWidth="1"/>
    <col min="2" max="2" width="24" style="23" bestFit="1" customWidth="1"/>
    <col min="3" max="16384" width="11.42578125" style="23"/>
  </cols>
  <sheetData>
    <row r="1" spans="1:2" ht="15.75" thickBot="1" x14ac:dyDescent="0.3">
      <c r="A1" s="7" t="s">
        <v>17</v>
      </c>
      <c r="B1" s="7" t="s">
        <v>6</v>
      </c>
    </row>
    <row r="2" spans="1:2" x14ac:dyDescent="0.25">
      <c r="A2" s="23">
        <v>1</v>
      </c>
      <c r="B2" s="38" t="s">
        <v>22</v>
      </c>
    </row>
    <row r="3" spans="1:2" x14ac:dyDescent="0.25">
      <c r="A3" s="23">
        <v>2</v>
      </c>
      <c r="B3" s="38" t="s">
        <v>147</v>
      </c>
    </row>
    <row r="4" spans="1:2" x14ac:dyDescent="0.25">
      <c r="A4" s="23">
        <v>3</v>
      </c>
      <c r="B4" s="39" t="s">
        <v>154</v>
      </c>
    </row>
    <row r="5" spans="1:2" x14ac:dyDescent="0.25">
      <c r="A5" s="22">
        <v>4</v>
      </c>
      <c r="B5" s="36" t="s">
        <v>166</v>
      </c>
    </row>
    <row r="6" spans="1:2" x14ac:dyDescent="0.25">
      <c r="A6" s="22">
        <v>5</v>
      </c>
      <c r="B6" s="38" t="s">
        <v>179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74CCF-BB14-416A-A264-C88DF48E438F}">
  <dimension ref="A1:S93"/>
  <sheetViews>
    <sheetView tabSelected="1" zoomScale="85" zoomScaleNormal="85" workbookViewId="0"/>
  </sheetViews>
  <sheetFormatPr baseColWidth="10" defaultRowHeight="12.75" x14ac:dyDescent="0.2"/>
  <cols>
    <col min="1" max="2" width="10.7109375" style="5" bestFit="1" customWidth="1"/>
    <col min="3" max="3" width="15" style="5" bestFit="1" customWidth="1"/>
    <col min="4" max="4" width="39.28515625" style="5" bestFit="1" customWidth="1"/>
    <col min="5" max="5" width="56.42578125" style="5" bestFit="1" customWidth="1"/>
    <col min="6" max="6" width="19.140625" style="5" bestFit="1" customWidth="1"/>
    <col min="7" max="7" width="27" style="22" bestFit="1" customWidth="1"/>
    <col min="8" max="8" width="14.5703125" style="13" bestFit="1" customWidth="1"/>
    <col min="9" max="9" width="8.5703125" style="13" bestFit="1" customWidth="1"/>
    <col min="10" max="10" width="12" style="13" bestFit="1" customWidth="1"/>
    <col min="11" max="11" width="11.140625" style="13" bestFit="1" customWidth="1"/>
    <col min="12" max="12" width="18.42578125" style="13" bestFit="1" customWidth="1"/>
    <col min="13" max="13" width="6.42578125" style="13" bestFit="1" customWidth="1"/>
    <col min="14" max="14" width="10.5703125" style="13" bestFit="1" customWidth="1"/>
    <col min="15" max="15" width="17.7109375" style="5" bestFit="1" customWidth="1"/>
    <col min="16" max="16" width="51.140625" style="5" bestFit="1" customWidth="1"/>
    <col min="17" max="17" width="14.85546875" style="5" bestFit="1" customWidth="1"/>
    <col min="18" max="18" width="9.140625" style="22" bestFit="1" customWidth="1"/>
    <col min="19" max="19" width="27" style="5" bestFit="1" customWidth="1"/>
    <col min="20" max="16384" width="11.42578125" style="5"/>
  </cols>
  <sheetData>
    <row r="1" spans="1:19" s="15" customFormat="1" ht="26.25" thickBot="1" x14ac:dyDescent="0.3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8" t="s">
        <v>14</v>
      </c>
      <c r="P1" s="18" t="s">
        <v>15</v>
      </c>
      <c r="Q1" s="18" t="s">
        <v>16</v>
      </c>
      <c r="R1" s="17" t="s">
        <v>17</v>
      </c>
      <c r="S1" s="17" t="s">
        <v>6</v>
      </c>
    </row>
    <row r="2" spans="1:19" x14ac:dyDescent="0.2">
      <c r="A2" s="22">
        <v>1</v>
      </c>
      <c r="B2" s="11">
        <v>46174</v>
      </c>
      <c r="C2" s="4" t="s">
        <v>18</v>
      </c>
      <c r="D2" s="4" t="s">
        <v>19</v>
      </c>
      <c r="E2" s="15" t="s">
        <v>20</v>
      </c>
      <c r="F2" s="4" t="s">
        <v>21</v>
      </c>
      <c r="G2" s="4" t="s">
        <v>22</v>
      </c>
      <c r="H2" s="6">
        <v>30.5</v>
      </c>
      <c r="I2" s="6">
        <v>0</v>
      </c>
      <c r="J2" s="13">
        <v>0</v>
      </c>
      <c r="K2" s="13">
        <v>0</v>
      </c>
      <c r="L2" s="13">
        <v>0</v>
      </c>
      <c r="M2" s="13">
        <f>IF(P2="HOSPEDAJE",H2*0.04,0)</f>
        <v>0</v>
      </c>
      <c r="N2" s="14">
        <f>H2+I2+M2-L2-K2-J2</f>
        <v>30.5</v>
      </c>
      <c r="O2" s="5" t="s">
        <v>194</v>
      </c>
      <c r="P2" s="5" t="s">
        <v>24</v>
      </c>
      <c r="Q2" s="4" t="s">
        <v>25</v>
      </c>
      <c r="R2" s="22">
        <v>1</v>
      </c>
      <c r="S2" s="5" t="s">
        <v>22</v>
      </c>
    </row>
    <row r="3" spans="1:19" x14ac:dyDescent="0.2">
      <c r="A3" s="22">
        <v>2</v>
      </c>
      <c r="B3" s="11">
        <v>46171</v>
      </c>
      <c r="C3" s="4" t="s">
        <v>18</v>
      </c>
      <c r="D3" s="4" t="s">
        <v>26</v>
      </c>
      <c r="E3" s="15" t="s">
        <v>20</v>
      </c>
      <c r="F3" s="4" t="s">
        <v>21</v>
      </c>
      <c r="G3" s="4" t="s">
        <v>22</v>
      </c>
      <c r="H3" s="6">
        <v>33.53</v>
      </c>
      <c r="I3" s="6">
        <v>5.37</v>
      </c>
      <c r="J3" s="13">
        <v>0</v>
      </c>
      <c r="K3" s="13">
        <v>0</v>
      </c>
      <c r="L3" s="13">
        <v>0</v>
      </c>
      <c r="M3" s="13">
        <f t="shared" ref="M3:M10" si="0">IF(P3="HOSPEDAJE",H3*0.04,0)</f>
        <v>0</v>
      </c>
      <c r="N3" s="14">
        <f t="shared" ref="N3:N10" si="1">H3+I3+M3-L3-K3-J3</f>
        <v>38.9</v>
      </c>
      <c r="O3" s="12" t="s">
        <v>27</v>
      </c>
      <c r="P3" s="5" t="s">
        <v>28</v>
      </c>
      <c r="Q3" s="4" t="s">
        <v>25</v>
      </c>
      <c r="R3" s="22">
        <v>1</v>
      </c>
      <c r="S3" s="5" t="s">
        <v>22</v>
      </c>
    </row>
    <row r="4" spans="1:19" x14ac:dyDescent="0.2">
      <c r="A4" s="22">
        <v>3</v>
      </c>
      <c r="B4" s="11">
        <v>46172</v>
      </c>
      <c r="C4" s="4" t="s">
        <v>18</v>
      </c>
      <c r="D4" s="4" t="s">
        <v>29</v>
      </c>
      <c r="E4" s="16" t="s">
        <v>30</v>
      </c>
      <c r="F4" s="4" t="s">
        <v>21</v>
      </c>
      <c r="G4" s="4" t="s">
        <v>22</v>
      </c>
      <c r="H4" s="6">
        <v>413.79</v>
      </c>
      <c r="I4" s="6">
        <f t="shared" ref="I4" si="2">ROUND((H4-L4)*0.16,2)</f>
        <v>66.209999999999994</v>
      </c>
      <c r="J4" s="13">
        <v>0</v>
      </c>
      <c r="K4" s="13">
        <v>0</v>
      </c>
      <c r="L4" s="6">
        <v>0</v>
      </c>
      <c r="M4" s="13">
        <f t="shared" si="0"/>
        <v>0</v>
      </c>
      <c r="N4" s="14">
        <f>H4+I4+M4-L4-K4-J4</f>
        <v>480</v>
      </c>
      <c r="O4" s="12" t="s">
        <v>27</v>
      </c>
      <c r="P4" s="5" t="s">
        <v>31</v>
      </c>
      <c r="Q4" s="4" t="s">
        <v>32</v>
      </c>
      <c r="R4" s="22">
        <v>1</v>
      </c>
      <c r="S4" s="5" t="s">
        <v>22</v>
      </c>
    </row>
    <row r="5" spans="1:19" x14ac:dyDescent="0.2">
      <c r="A5" s="22">
        <v>4</v>
      </c>
      <c r="B5" s="11">
        <v>46170</v>
      </c>
      <c r="C5" s="4" t="s">
        <v>18</v>
      </c>
      <c r="D5" s="4" t="s">
        <v>33</v>
      </c>
      <c r="E5" s="15" t="s">
        <v>20</v>
      </c>
      <c r="F5" s="4" t="s">
        <v>21</v>
      </c>
      <c r="G5" s="4" t="s">
        <v>22</v>
      </c>
      <c r="H5" s="6">
        <v>105.9</v>
      </c>
      <c r="I5" s="6">
        <v>0</v>
      </c>
      <c r="J5" s="13">
        <v>0</v>
      </c>
      <c r="K5" s="13">
        <v>0</v>
      </c>
      <c r="L5" s="13">
        <v>0</v>
      </c>
      <c r="M5" s="13">
        <f t="shared" si="0"/>
        <v>0</v>
      </c>
      <c r="N5" s="14">
        <f t="shared" si="1"/>
        <v>105.9</v>
      </c>
      <c r="O5" s="12" t="s">
        <v>27</v>
      </c>
      <c r="P5" s="5" t="s">
        <v>34</v>
      </c>
      <c r="Q5" s="4" t="s">
        <v>25</v>
      </c>
      <c r="R5" s="22">
        <v>1</v>
      </c>
      <c r="S5" s="5" t="s">
        <v>22</v>
      </c>
    </row>
    <row r="6" spans="1:19" x14ac:dyDescent="0.2">
      <c r="A6" s="22">
        <v>5</v>
      </c>
      <c r="B6" s="11">
        <v>46171</v>
      </c>
      <c r="C6" s="4" t="s">
        <v>18</v>
      </c>
      <c r="D6" s="4" t="s">
        <v>35</v>
      </c>
      <c r="E6" s="15" t="s">
        <v>20</v>
      </c>
      <c r="F6" s="4" t="s">
        <v>21</v>
      </c>
      <c r="G6" s="4" t="s">
        <v>22</v>
      </c>
      <c r="H6" s="6">
        <v>105.9</v>
      </c>
      <c r="I6" s="6">
        <v>0</v>
      </c>
      <c r="J6" s="13">
        <v>0</v>
      </c>
      <c r="K6" s="13">
        <v>0</v>
      </c>
      <c r="L6" s="13">
        <v>0</v>
      </c>
      <c r="M6" s="13">
        <f t="shared" si="0"/>
        <v>0</v>
      </c>
      <c r="N6" s="14">
        <f>H6+I6+M6-L6-K6-J6</f>
        <v>105.9</v>
      </c>
      <c r="O6" s="5" t="s">
        <v>194</v>
      </c>
      <c r="P6" s="5" t="s">
        <v>34</v>
      </c>
      <c r="Q6" s="4" t="s">
        <v>25</v>
      </c>
      <c r="R6" s="22">
        <v>1</v>
      </c>
      <c r="S6" s="5" t="s">
        <v>22</v>
      </c>
    </row>
    <row r="7" spans="1:19" x14ac:dyDescent="0.2">
      <c r="A7" s="22">
        <v>6</v>
      </c>
      <c r="B7" s="11">
        <v>46169</v>
      </c>
      <c r="C7" s="4" t="s">
        <v>18</v>
      </c>
      <c r="D7" s="4" t="s">
        <v>36</v>
      </c>
      <c r="E7" s="15" t="s">
        <v>20</v>
      </c>
      <c r="F7" s="4" t="s">
        <v>21</v>
      </c>
      <c r="G7" s="4" t="s">
        <v>22</v>
      </c>
      <c r="H7" s="6">
        <v>30.5</v>
      </c>
      <c r="I7" s="6">
        <v>0</v>
      </c>
      <c r="J7" s="13">
        <v>0</v>
      </c>
      <c r="K7" s="13">
        <v>0</v>
      </c>
      <c r="L7" s="6">
        <v>0</v>
      </c>
      <c r="M7" s="13">
        <f t="shared" si="0"/>
        <v>0</v>
      </c>
      <c r="N7" s="14">
        <f t="shared" si="1"/>
        <v>30.5</v>
      </c>
      <c r="O7" s="12" t="s">
        <v>27</v>
      </c>
      <c r="P7" s="5" t="s">
        <v>24</v>
      </c>
      <c r="Q7" s="4" t="s">
        <v>25</v>
      </c>
      <c r="R7" s="22">
        <v>1</v>
      </c>
      <c r="S7" s="5" t="s">
        <v>22</v>
      </c>
    </row>
    <row r="8" spans="1:19" x14ac:dyDescent="0.2">
      <c r="A8" s="22">
        <v>7</v>
      </c>
      <c r="B8" s="11">
        <v>46168</v>
      </c>
      <c r="C8" s="4" t="s">
        <v>18</v>
      </c>
      <c r="D8" s="4" t="s">
        <v>37</v>
      </c>
      <c r="E8" s="15" t="s">
        <v>20</v>
      </c>
      <c r="F8" s="4" t="s">
        <v>21</v>
      </c>
      <c r="G8" s="4" t="s">
        <v>22</v>
      </c>
      <c r="H8" s="6">
        <v>68.790000000000006</v>
      </c>
      <c r="I8" s="6">
        <f>ROUND((H8-L8)*0.16,2)</f>
        <v>11.01</v>
      </c>
      <c r="J8" s="13">
        <v>0</v>
      </c>
      <c r="K8" s="13">
        <v>0</v>
      </c>
      <c r="L8" s="13">
        <v>0</v>
      </c>
      <c r="M8" s="13">
        <f t="shared" si="0"/>
        <v>0</v>
      </c>
      <c r="N8" s="14">
        <f t="shared" si="1"/>
        <v>79.800000000000011</v>
      </c>
      <c r="O8" s="12" t="s">
        <v>27</v>
      </c>
      <c r="P8" s="5" t="s">
        <v>38</v>
      </c>
      <c r="Q8" s="4" t="s">
        <v>25</v>
      </c>
      <c r="R8" s="22">
        <v>1</v>
      </c>
      <c r="S8" s="5" t="s">
        <v>22</v>
      </c>
    </row>
    <row r="9" spans="1:19" x14ac:dyDescent="0.2">
      <c r="A9" s="22">
        <v>8</v>
      </c>
      <c r="B9" s="11">
        <v>46169</v>
      </c>
      <c r="C9" s="4" t="s">
        <v>18</v>
      </c>
      <c r="D9" s="4" t="s">
        <v>39</v>
      </c>
      <c r="E9" s="15" t="s">
        <v>20</v>
      </c>
      <c r="F9" s="4" t="s">
        <v>21</v>
      </c>
      <c r="G9" s="4" t="s">
        <v>22</v>
      </c>
      <c r="H9" s="14">
        <v>75.400000000000006</v>
      </c>
      <c r="I9" s="6">
        <v>0</v>
      </c>
      <c r="J9" s="13">
        <v>0</v>
      </c>
      <c r="K9" s="13">
        <v>0</v>
      </c>
      <c r="L9" s="13">
        <v>0</v>
      </c>
      <c r="M9" s="13">
        <f t="shared" si="0"/>
        <v>0</v>
      </c>
      <c r="N9" s="14">
        <f t="shared" si="1"/>
        <v>75.400000000000006</v>
      </c>
      <c r="O9" s="12" t="s">
        <v>27</v>
      </c>
      <c r="P9" s="5" t="s">
        <v>34</v>
      </c>
      <c r="Q9" s="4" t="s">
        <v>25</v>
      </c>
      <c r="R9" s="22">
        <v>1</v>
      </c>
      <c r="S9" s="5" t="s">
        <v>22</v>
      </c>
    </row>
    <row r="10" spans="1:19" x14ac:dyDescent="0.2">
      <c r="A10" s="22">
        <v>9</v>
      </c>
      <c r="B10" s="11">
        <v>46172</v>
      </c>
      <c r="C10" s="4" t="s">
        <v>18</v>
      </c>
      <c r="D10" s="4" t="s">
        <v>40</v>
      </c>
      <c r="E10" s="15" t="s">
        <v>20</v>
      </c>
      <c r="F10" s="4" t="s">
        <v>21</v>
      </c>
      <c r="G10" s="4" t="s">
        <v>22</v>
      </c>
      <c r="H10" s="14">
        <v>54.5</v>
      </c>
      <c r="I10" s="6">
        <v>0</v>
      </c>
      <c r="J10" s="13">
        <v>0</v>
      </c>
      <c r="K10" s="13">
        <v>0</v>
      </c>
      <c r="L10" s="13">
        <v>0</v>
      </c>
      <c r="M10" s="13">
        <f t="shared" si="0"/>
        <v>0</v>
      </c>
      <c r="N10" s="14">
        <f t="shared" si="1"/>
        <v>54.5</v>
      </c>
      <c r="O10" s="5" t="s">
        <v>194</v>
      </c>
      <c r="P10" s="5" t="s">
        <v>34</v>
      </c>
      <c r="Q10" s="4" t="s">
        <v>25</v>
      </c>
      <c r="R10" s="22">
        <v>1</v>
      </c>
      <c r="S10" s="5" t="s">
        <v>22</v>
      </c>
    </row>
    <row r="11" spans="1:19" x14ac:dyDescent="0.2">
      <c r="A11" s="22">
        <v>10</v>
      </c>
      <c r="B11" s="11">
        <v>46160</v>
      </c>
      <c r="C11" s="4" t="s">
        <v>41</v>
      </c>
      <c r="D11" s="4" t="s">
        <v>42</v>
      </c>
      <c r="E11" s="15" t="s">
        <v>43</v>
      </c>
      <c r="F11" s="4" t="s">
        <v>21</v>
      </c>
      <c r="G11" s="22" t="s">
        <v>22</v>
      </c>
      <c r="H11" s="14">
        <v>0</v>
      </c>
      <c r="I11" s="6">
        <v>0</v>
      </c>
      <c r="J11" s="13">
        <v>0</v>
      </c>
      <c r="K11" s="13">
        <v>0</v>
      </c>
      <c r="L11" s="13">
        <v>0</v>
      </c>
      <c r="M11" s="13">
        <v>0</v>
      </c>
      <c r="N11" s="13">
        <v>800</v>
      </c>
      <c r="O11" s="12" t="s">
        <v>163</v>
      </c>
      <c r="P11" s="5" t="s">
        <v>43</v>
      </c>
      <c r="Q11" s="4" t="s">
        <v>43</v>
      </c>
      <c r="R11" s="22">
        <v>1</v>
      </c>
      <c r="S11" s="5" t="s">
        <v>22</v>
      </c>
    </row>
    <row r="12" spans="1:19" x14ac:dyDescent="0.2">
      <c r="A12" s="22">
        <v>11</v>
      </c>
      <c r="B12" s="3">
        <v>46161</v>
      </c>
      <c r="C12" s="4" t="s">
        <v>18</v>
      </c>
      <c r="D12" s="4" t="s">
        <v>44</v>
      </c>
      <c r="E12" s="15" t="s">
        <v>45</v>
      </c>
      <c r="F12" s="4" t="s">
        <v>46</v>
      </c>
      <c r="G12" s="4" t="s">
        <v>22</v>
      </c>
      <c r="H12" s="6">
        <v>377.58</v>
      </c>
      <c r="I12" s="6">
        <v>60.42</v>
      </c>
      <c r="J12" s="6">
        <v>0</v>
      </c>
      <c r="K12" s="6">
        <v>0</v>
      </c>
      <c r="L12" s="6">
        <v>0</v>
      </c>
      <c r="M12" s="6">
        <v>0</v>
      </c>
      <c r="N12" s="40">
        <f t="shared" ref="N12:N39" si="3">H12+I12+M12-L12-J12-K12</f>
        <v>438</v>
      </c>
      <c r="O12" s="5" t="s">
        <v>27</v>
      </c>
      <c r="P12" s="5" t="s">
        <v>47</v>
      </c>
      <c r="Q12" s="4" t="s">
        <v>48</v>
      </c>
      <c r="R12" s="22">
        <v>1</v>
      </c>
      <c r="S12" s="5" t="s">
        <v>22</v>
      </c>
    </row>
    <row r="13" spans="1:19" x14ac:dyDescent="0.2">
      <c r="A13" s="22">
        <v>12</v>
      </c>
      <c r="B13" s="3">
        <v>46161</v>
      </c>
      <c r="C13" s="4" t="s">
        <v>18</v>
      </c>
      <c r="D13" s="4" t="s">
        <v>49</v>
      </c>
      <c r="E13" s="15" t="s">
        <v>50</v>
      </c>
      <c r="F13" s="4" t="s">
        <v>46</v>
      </c>
      <c r="G13" s="4" t="s">
        <v>22</v>
      </c>
      <c r="H13" s="6">
        <v>229.31</v>
      </c>
      <c r="I13" s="6">
        <f t="shared" ref="I13:I38" si="4">+(H13-L13)*0.16</f>
        <v>36.689599999999999</v>
      </c>
      <c r="J13" s="6">
        <v>0</v>
      </c>
      <c r="K13" s="6">
        <v>0</v>
      </c>
      <c r="L13" s="6">
        <v>0</v>
      </c>
      <c r="M13" s="6">
        <v>0</v>
      </c>
      <c r="N13" s="40">
        <f t="shared" si="3"/>
        <v>265.99959999999999</v>
      </c>
      <c r="O13" s="5" t="s">
        <v>27</v>
      </c>
      <c r="P13" s="5" t="s">
        <v>47</v>
      </c>
      <c r="Q13" s="4" t="s">
        <v>51</v>
      </c>
      <c r="R13" s="22">
        <v>1</v>
      </c>
      <c r="S13" s="5" t="s">
        <v>22</v>
      </c>
    </row>
    <row r="14" spans="1:19" x14ac:dyDescent="0.2">
      <c r="A14" s="22">
        <v>13</v>
      </c>
      <c r="B14" s="3">
        <v>46156</v>
      </c>
      <c r="C14" s="4" t="s">
        <v>18</v>
      </c>
      <c r="D14" s="4" t="s">
        <v>52</v>
      </c>
      <c r="E14" s="15" t="s">
        <v>53</v>
      </c>
      <c r="F14" s="4" t="s">
        <v>46</v>
      </c>
      <c r="G14" s="4" t="s">
        <v>22</v>
      </c>
      <c r="H14" s="6">
        <v>635.72</v>
      </c>
      <c r="I14" s="6">
        <v>101.71</v>
      </c>
      <c r="J14" s="6">
        <v>0</v>
      </c>
      <c r="K14" s="6">
        <v>0</v>
      </c>
      <c r="L14" s="6">
        <v>0</v>
      </c>
      <c r="M14" s="6">
        <v>0</v>
      </c>
      <c r="N14" s="40">
        <f t="shared" si="3"/>
        <v>737.43000000000006</v>
      </c>
      <c r="O14" s="5" t="s">
        <v>194</v>
      </c>
      <c r="P14" s="5" t="s">
        <v>54</v>
      </c>
      <c r="Q14" s="4" t="s">
        <v>55</v>
      </c>
      <c r="R14" s="22">
        <v>1</v>
      </c>
      <c r="S14" s="5" t="s">
        <v>22</v>
      </c>
    </row>
    <row r="15" spans="1:19" x14ac:dyDescent="0.2">
      <c r="A15" s="22">
        <v>14</v>
      </c>
      <c r="B15" s="3">
        <v>46169</v>
      </c>
      <c r="C15" s="4" t="s">
        <v>18</v>
      </c>
      <c r="D15" s="4" t="s">
        <v>56</v>
      </c>
      <c r="E15" s="15" t="s">
        <v>57</v>
      </c>
      <c r="F15" s="4" t="s">
        <v>46</v>
      </c>
      <c r="G15" s="4" t="s">
        <v>22</v>
      </c>
      <c r="H15" s="6">
        <v>776.73</v>
      </c>
      <c r="I15" s="6">
        <v>124.27</v>
      </c>
      <c r="J15" s="6">
        <v>0</v>
      </c>
      <c r="K15" s="6">
        <v>0</v>
      </c>
      <c r="L15" s="6">
        <v>0</v>
      </c>
      <c r="M15" s="6">
        <v>0</v>
      </c>
      <c r="N15" s="40">
        <f t="shared" si="3"/>
        <v>901</v>
      </c>
      <c r="O15" s="5" t="s">
        <v>194</v>
      </c>
      <c r="P15" s="5" t="s">
        <v>58</v>
      </c>
      <c r="Q15" s="4" t="s">
        <v>59</v>
      </c>
      <c r="R15" s="22">
        <v>1</v>
      </c>
      <c r="S15" s="5" t="s">
        <v>22</v>
      </c>
    </row>
    <row r="16" spans="1:19" x14ac:dyDescent="0.2">
      <c r="A16" s="22">
        <v>15</v>
      </c>
      <c r="B16" s="3">
        <v>46161</v>
      </c>
      <c r="C16" s="4" t="s">
        <v>18</v>
      </c>
      <c r="D16" s="4" t="s">
        <v>60</v>
      </c>
      <c r="E16" s="15" t="s">
        <v>61</v>
      </c>
      <c r="F16" s="4" t="s">
        <v>46</v>
      </c>
      <c r="G16" s="4" t="s">
        <v>22</v>
      </c>
      <c r="H16" s="6">
        <v>97.41</v>
      </c>
      <c r="I16" s="6">
        <f t="shared" si="4"/>
        <v>15.585599999999999</v>
      </c>
      <c r="J16" s="6">
        <v>0</v>
      </c>
      <c r="K16" s="6">
        <v>0</v>
      </c>
      <c r="L16" s="6">
        <v>0</v>
      </c>
      <c r="M16" s="6">
        <v>0</v>
      </c>
      <c r="N16" s="40">
        <f t="shared" si="3"/>
        <v>112.9956</v>
      </c>
      <c r="O16" s="5" t="s">
        <v>27</v>
      </c>
      <c r="P16" s="5" t="s">
        <v>47</v>
      </c>
      <c r="Q16" s="4" t="s">
        <v>62</v>
      </c>
      <c r="R16" s="22">
        <v>1</v>
      </c>
      <c r="S16" s="5" t="s">
        <v>22</v>
      </c>
    </row>
    <row r="17" spans="1:19" x14ac:dyDescent="0.2">
      <c r="A17" s="22">
        <v>16</v>
      </c>
      <c r="B17" s="3">
        <v>46154</v>
      </c>
      <c r="C17" s="4" t="s">
        <v>18</v>
      </c>
      <c r="D17" s="4" t="s">
        <v>63</v>
      </c>
      <c r="E17" s="15" t="s">
        <v>64</v>
      </c>
      <c r="F17" s="4" t="s">
        <v>46</v>
      </c>
      <c r="G17" s="4" t="s">
        <v>22</v>
      </c>
      <c r="H17" s="6">
        <v>440.52</v>
      </c>
      <c r="I17" s="6">
        <f t="shared" si="4"/>
        <v>70.483199999999997</v>
      </c>
      <c r="J17" s="6">
        <v>0</v>
      </c>
      <c r="K17" s="6">
        <v>0</v>
      </c>
      <c r="L17" s="6">
        <v>0</v>
      </c>
      <c r="M17" s="6">
        <v>0</v>
      </c>
      <c r="N17" s="40">
        <f t="shared" si="3"/>
        <v>511.00319999999999</v>
      </c>
      <c r="O17" s="5" t="s">
        <v>27</v>
      </c>
      <c r="P17" s="5" t="s">
        <v>65</v>
      </c>
      <c r="Q17" s="4" t="s">
        <v>66</v>
      </c>
      <c r="R17" s="22">
        <v>1</v>
      </c>
      <c r="S17" s="5" t="s">
        <v>22</v>
      </c>
    </row>
    <row r="18" spans="1:19" x14ac:dyDescent="0.2">
      <c r="A18" s="22">
        <v>17</v>
      </c>
      <c r="B18" s="3">
        <v>46151</v>
      </c>
      <c r="C18" s="4" t="s">
        <v>18</v>
      </c>
      <c r="D18" s="4" t="s">
        <v>67</v>
      </c>
      <c r="E18" s="15" t="s">
        <v>68</v>
      </c>
      <c r="F18" s="4" t="s">
        <v>46</v>
      </c>
      <c r="G18" s="4" t="s">
        <v>22</v>
      </c>
      <c r="H18" s="6">
        <v>89.62</v>
      </c>
      <c r="I18" s="6">
        <f t="shared" si="4"/>
        <v>14.339200000000002</v>
      </c>
      <c r="J18" s="6">
        <v>0</v>
      </c>
      <c r="K18" s="6">
        <v>0</v>
      </c>
      <c r="L18" s="6">
        <v>0</v>
      </c>
      <c r="M18" s="6">
        <v>0</v>
      </c>
      <c r="N18" s="40">
        <f t="shared" si="3"/>
        <v>103.95920000000001</v>
      </c>
      <c r="O18" s="5" t="s">
        <v>27</v>
      </c>
      <c r="P18" s="5" t="s">
        <v>69</v>
      </c>
      <c r="Q18" s="4" t="s">
        <v>70</v>
      </c>
      <c r="R18" s="22">
        <v>1</v>
      </c>
      <c r="S18" s="5" t="s">
        <v>22</v>
      </c>
    </row>
    <row r="19" spans="1:19" x14ac:dyDescent="0.2">
      <c r="A19" s="22">
        <v>18</v>
      </c>
      <c r="B19" s="3">
        <v>46154</v>
      </c>
      <c r="C19" s="4" t="s">
        <v>18</v>
      </c>
      <c r="D19" s="4" t="s">
        <v>71</v>
      </c>
      <c r="E19" s="15" t="s">
        <v>72</v>
      </c>
      <c r="F19" s="4" t="s">
        <v>46</v>
      </c>
      <c r="G19" s="4" t="s">
        <v>22</v>
      </c>
      <c r="H19" s="6">
        <v>297.76</v>
      </c>
      <c r="I19" s="6">
        <f t="shared" si="4"/>
        <v>47.641599999999997</v>
      </c>
      <c r="J19" s="6">
        <v>0</v>
      </c>
      <c r="K19" s="6">
        <v>0</v>
      </c>
      <c r="L19" s="6">
        <v>0</v>
      </c>
      <c r="M19" s="6">
        <v>0</v>
      </c>
      <c r="N19" s="40">
        <f t="shared" si="3"/>
        <v>345.40159999999997</v>
      </c>
      <c r="O19" s="5" t="s">
        <v>194</v>
      </c>
      <c r="P19" s="5" t="s">
        <v>73</v>
      </c>
      <c r="Q19" s="4" t="s">
        <v>74</v>
      </c>
      <c r="R19" s="22">
        <v>1</v>
      </c>
      <c r="S19" s="5" t="s">
        <v>22</v>
      </c>
    </row>
    <row r="20" spans="1:19" x14ac:dyDescent="0.2">
      <c r="A20" s="22">
        <v>19</v>
      </c>
      <c r="B20" s="3">
        <v>46153</v>
      </c>
      <c r="C20" s="4" t="s">
        <v>18</v>
      </c>
      <c r="D20" s="4" t="s">
        <v>75</v>
      </c>
      <c r="E20" s="15" t="s">
        <v>64</v>
      </c>
      <c r="F20" s="4" t="s">
        <v>46</v>
      </c>
      <c r="G20" s="4" t="s">
        <v>22</v>
      </c>
      <c r="H20" s="6">
        <v>1268.1400000000001</v>
      </c>
      <c r="I20" s="6">
        <f t="shared" si="4"/>
        <v>202.90240000000003</v>
      </c>
      <c r="J20" s="6">
        <v>0</v>
      </c>
      <c r="K20" s="6">
        <v>0</v>
      </c>
      <c r="L20" s="6">
        <v>0</v>
      </c>
      <c r="M20" s="6">
        <v>0</v>
      </c>
      <c r="N20" s="40">
        <f t="shared" si="3"/>
        <v>1471.0424</v>
      </c>
      <c r="O20" s="5" t="s">
        <v>194</v>
      </c>
      <c r="P20" s="5" t="s">
        <v>76</v>
      </c>
      <c r="Q20" s="4" t="s">
        <v>66</v>
      </c>
      <c r="R20" s="22">
        <v>1</v>
      </c>
      <c r="S20" s="5" t="s">
        <v>22</v>
      </c>
    </row>
    <row r="21" spans="1:19" x14ac:dyDescent="0.2">
      <c r="A21" s="22">
        <v>20</v>
      </c>
      <c r="B21" s="3">
        <v>46151</v>
      </c>
      <c r="C21" s="4" t="s">
        <v>18</v>
      </c>
      <c r="D21" s="4" t="s">
        <v>77</v>
      </c>
      <c r="E21" s="15" t="s">
        <v>72</v>
      </c>
      <c r="F21" s="4" t="s">
        <v>46</v>
      </c>
      <c r="G21" s="4" t="s">
        <v>22</v>
      </c>
      <c r="H21" s="6">
        <v>1115.4000000000001</v>
      </c>
      <c r="I21" s="6">
        <f t="shared" si="4"/>
        <v>178.46400000000003</v>
      </c>
      <c r="J21" s="6">
        <v>0</v>
      </c>
      <c r="K21" s="6">
        <v>0</v>
      </c>
      <c r="L21" s="6">
        <v>0</v>
      </c>
      <c r="M21" s="6">
        <v>0</v>
      </c>
      <c r="N21" s="40">
        <f t="shared" si="3"/>
        <v>1293.864</v>
      </c>
      <c r="O21" s="5" t="s">
        <v>194</v>
      </c>
      <c r="P21" s="5" t="s">
        <v>78</v>
      </c>
      <c r="Q21" s="4" t="s">
        <v>74</v>
      </c>
      <c r="R21" s="22">
        <v>1</v>
      </c>
      <c r="S21" s="5" t="s">
        <v>22</v>
      </c>
    </row>
    <row r="22" spans="1:19" x14ac:dyDescent="0.2">
      <c r="A22" s="22">
        <v>21</v>
      </c>
      <c r="B22" s="3">
        <v>46161</v>
      </c>
      <c r="C22" s="4" t="s">
        <v>18</v>
      </c>
      <c r="D22" s="4" t="s">
        <v>79</v>
      </c>
      <c r="E22" s="15" t="s">
        <v>80</v>
      </c>
      <c r="F22" s="4" t="s">
        <v>46</v>
      </c>
      <c r="G22" s="4" t="s">
        <v>22</v>
      </c>
      <c r="H22" s="6">
        <v>178.44</v>
      </c>
      <c r="I22" s="6">
        <v>28.56</v>
      </c>
      <c r="J22" s="6">
        <v>0</v>
      </c>
      <c r="K22" s="6">
        <v>0</v>
      </c>
      <c r="L22" s="6">
        <v>0</v>
      </c>
      <c r="M22" s="6">
        <v>0</v>
      </c>
      <c r="N22" s="40">
        <f t="shared" si="3"/>
        <v>207</v>
      </c>
      <c r="O22" s="5" t="s">
        <v>27</v>
      </c>
      <c r="P22" s="5" t="s">
        <v>47</v>
      </c>
      <c r="Q22" s="4" t="s">
        <v>81</v>
      </c>
      <c r="R22" s="22">
        <v>1</v>
      </c>
      <c r="S22" s="5" t="s">
        <v>22</v>
      </c>
    </row>
    <row r="23" spans="1:19" x14ac:dyDescent="0.2">
      <c r="A23" s="22">
        <v>22</v>
      </c>
      <c r="B23" s="3">
        <v>46161</v>
      </c>
      <c r="C23" s="4" t="s">
        <v>18</v>
      </c>
      <c r="D23" s="4" t="s">
        <v>82</v>
      </c>
      <c r="E23" s="15" t="s">
        <v>80</v>
      </c>
      <c r="F23" s="4" t="s">
        <v>46</v>
      </c>
      <c r="G23" s="4" t="s">
        <v>22</v>
      </c>
      <c r="H23" s="6">
        <v>59.48</v>
      </c>
      <c r="I23" s="6">
        <f t="shared" si="4"/>
        <v>9.5167999999999999</v>
      </c>
      <c r="J23" s="6">
        <v>0</v>
      </c>
      <c r="K23" s="6">
        <v>0</v>
      </c>
      <c r="L23" s="6">
        <v>0</v>
      </c>
      <c r="M23" s="6">
        <v>0</v>
      </c>
      <c r="N23" s="40">
        <f>H23+I23+M23-L23-J23-K23</f>
        <v>68.996799999999993</v>
      </c>
      <c r="O23" s="5" t="s">
        <v>27</v>
      </c>
      <c r="P23" s="5" t="s">
        <v>47</v>
      </c>
      <c r="Q23" s="4" t="s">
        <v>81</v>
      </c>
      <c r="R23" s="22">
        <v>1</v>
      </c>
      <c r="S23" s="5" t="s">
        <v>22</v>
      </c>
    </row>
    <row r="24" spans="1:19" x14ac:dyDescent="0.2">
      <c r="A24" s="22">
        <v>23</v>
      </c>
      <c r="B24" s="3">
        <v>46161</v>
      </c>
      <c r="C24" s="4" t="s">
        <v>18</v>
      </c>
      <c r="D24" s="4" t="s">
        <v>83</v>
      </c>
      <c r="E24" s="15" t="s">
        <v>84</v>
      </c>
      <c r="F24" s="4" t="s">
        <v>46</v>
      </c>
      <c r="G24" s="4" t="s">
        <v>22</v>
      </c>
      <c r="H24" s="6">
        <v>1429.31</v>
      </c>
      <c r="I24" s="6">
        <f t="shared" si="4"/>
        <v>228.68959999999998</v>
      </c>
      <c r="J24" s="6">
        <v>0</v>
      </c>
      <c r="K24" s="6">
        <v>0</v>
      </c>
      <c r="L24" s="6">
        <v>0</v>
      </c>
      <c r="M24" s="6">
        <v>0</v>
      </c>
      <c r="N24" s="40">
        <f t="shared" si="3"/>
        <v>1657.9995999999999</v>
      </c>
      <c r="O24" s="5" t="s">
        <v>27</v>
      </c>
      <c r="P24" s="5" t="s">
        <v>47</v>
      </c>
      <c r="Q24" s="4" t="s">
        <v>85</v>
      </c>
      <c r="R24" s="22">
        <v>1</v>
      </c>
      <c r="S24" s="5" t="s">
        <v>22</v>
      </c>
    </row>
    <row r="25" spans="1:19" x14ac:dyDescent="0.2">
      <c r="A25" s="22">
        <v>24</v>
      </c>
      <c r="B25" s="3">
        <v>46168</v>
      </c>
      <c r="C25" s="4" t="s">
        <v>18</v>
      </c>
      <c r="D25" s="4" t="s">
        <v>86</v>
      </c>
      <c r="E25" s="15" t="s">
        <v>20</v>
      </c>
      <c r="F25" s="4" t="s">
        <v>46</v>
      </c>
      <c r="G25" s="4" t="s">
        <v>22</v>
      </c>
      <c r="H25" s="6">
        <v>171.55</v>
      </c>
      <c r="I25" s="6">
        <f t="shared" si="4"/>
        <v>27.448000000000004</v>
      </c>
      <c r="J25" s="6">
        <v>0</v>
      </c>
      <c r="K25" s="6">
        <v>0</v>
      </c>
      <c r="L25" s="6">
        <v>0</v>
      </c>
      <c r="M25" s="6">
        <v>0</v>
      </c>
      <c r="N25" s="40">
        <f t="shared" si="3"/>
        <v>198.99800000000002</v>
      </c>
      <c r="O25" s="5" t="s">
        <v>27</v>
      </c>
      <c r="P25" s="5" t="s">
        <v>87</v>
      </c>
      <c r="Q25" s="4" t="s">
        <v>25</v>
      </c>
      <c r="R25" s="22">
        <v>1</v>
      </c>
      <c r="S25" s="5" t="s">
        <v>22</v>
      </c>
    </row>
    <row r="26" spans="1:19" x14ac:dyDescent="0.2">
      <c r="A26" s="22">
        <v>25</v>
      </c>
      <c r="B26" s="3">
        <v>46168</v>
      </c>
      <c r="C26" s="4" t="s">
        <v>18</v>
      </c>
      <c r="D26" s="4" t="s">
        <v>88</v>
      </c>
      <c r="E26" s="15" t="s">
        <v>20</v>
      </c>
      <c r="F26" s="4" t="s">
        <v>46</v>
      </c>
      <c r="G26" s="4" t="s">
        <v>22</v>
      </c>
      <c r="H26" s="6">
        <v>68.790000000000006</v>
      </c>
      <c r="I26" s="6">
        <f t="shared" si="4"/>
        <v>11.006400000000001</v>
      </c>
      <c r="J26" s="6">
        <v>0</v>
      </c>
      <c r="K26" s="6">
        <v>0</v>
      </c>
      <c r="L26" s="6">
        <v>0</v>
      </c>
      <c r="M26" s="6">
        <v>0</v>
      </c>
      <c r="N26" s="40">
        <f t="shared" si="3"/>
        <v>79.796400000000006</v>
      </c>
      <c r="O26" s="5" t="s">
        <v>27</v>
      </c>
      <c r="P26" s="5" t="s">
        <v>38</v>
      </c>
      <c r="Q26" s="4" t="s">
        <v>25</v>
      </c>
      <c r="R26" s="22">
        <v>1</v>
      </c>
      <c r="S26" s="5" t="s">
        <v>22</v>
      </c>
    </row>
    <row r="27" spans="1:19" x14ac:dyDescent="0.2">
      <c r="A27" s="22">
        <v>26</v>
      </c>
      <c r="B27" s="3">
        <v>46170</v>
      </c>
      <c r="C27" s="4" t="s">
        <v>18</v>
      </c>
      <c r="D27" s="4" t="s">
        <v>89</v>
      </c>
      <c r="E27" s="15" t="s">
        <v>64</v>
      </c>
      <c r="F27" s="4" t="s">
        <v>46</v>
      </c>
      <c r="G27" s="4" t="s">
        <v>22</v>
      </c>
      <c r="H27" s="6">
        <v>86.21</v>
      </c>
      <c r="I27" s="6">
        <f t="shared" si="4"/>
        <v>13.7936</v>
      </c>
      <c r="J27" s="6">
        <v>0</v>
      </c>
      <c r="K27" s="6">
        <v>0</v>
      </c>
      <c r="L27" s="6">
        <v>0</v>
      </c>
      <c r="M27" s="6">
        <v>0</v>
      </c>
      <c r="N27" s="40">
        <f t="shared" si="3"/>
        <v>100.00359999999999</v>
      </c>
      <c r="O27" s="5" t="s">
        <v>194</v>
      </c>
      <c r="P27" s="5" t="s">
        <v>90</v>
      </c>
      <c r="Q27" s="4" t="s">
        <v>66</v>
      </c>
      <c r="R27" s="22">
        <v>1</v>
      </c>
      <c r="S27" s="5" t="s">
        <v>22</v>
      </c>
    </row>
    <row r="28" spans="1:19" x14ac:dyDescent="0.2">
      <c r="A28" s="22">
        <v>27</v>
      </c>
      <c r="B28" s="3">
        <v>46170</v>
      </c>
      <c r="C28" s="4" t="s">
        <v>18</v>
      </c>
      <c r="D28" s="4" t="s">
        <v>91</v>
      </c>
      <c r="E28" s="15" t="s">
        <v>64</v>
      </c>
      <c r="F28" s="4" t="s">
        <v>46</v>
      </c>
      <c r="G28" s="4" t="s">
        <v>22</v>
      </c>
      <c r="H28" s="6">
        <v>369.83</v>
      </c>
      <c r="I28" s="6">
        <f t="shared" si="4"/>
        <v>59.172799999999995</v>
      </c>
      <c r="J28" s="6">
        <v>0</v>
      </c>
      <c r="K28" s="6">
        <v>0</v>
      </c>
      <c r="L28" s="6">
        <v>0</v>
      </c>
      <c r="M28" s="6">
        <v>0</v>
      </c>
      <c r="N28" s="40">
        <f t="shared" si="3"/>
        <v>429.00279999999998</v>
      </c>
      <c r="O28" s="5" t="s">
        <v>194</v>
      </c>
      <c r="P28" s="5" t="s">
        <v>65</v>
      </c>
      <c r="Q28" s="4" t="s">
        <v>66</v>
      </c>
      <c r="R28" s="22">
        <v>1</v>
      </c>
      <c r="S28" s="5" t="s">
        <v>22</v>
      </c>
    </row>
    <row r="29" spans="1:19" x14ac:dyDescent="0.2">
      <c r="A29" s="22">
        <v>28</v>
      </c>
      <c r="B29" s="3">
        <v>46167</v>
      </c>
      <c r="C29" s="4" t="s">
        <v>18</v>
      </c>
      <c r="D29" s="4" t="s">
        <v>92</v>
      </c>
      <c r="E29" s="15" t="s">
        <v>93</v>
      </c>
      <c r="F29" s="4" t="s">
        <v>46</v>
      </c>
      <c r="G29" s="4" t="s">
        <v>22</v>
      </c>
      <c r="H29" s="6">
        <v>258.62</v>
      </c>
      <c r="I29" s="6">
        <f t="shared" si="4"/>
        <v>41.379200000000004</v>
      </c>
      <c r="J29" s="6">
        <v>0</v>
      </c>
      <c r="K29" s="6">
        <v>0</v>
      </c>
      <c r="L29" s="6">
        <v>0</v>
      </c>
      <c r="M29" s="6">
        <v>0</v>
      </c>
      <c r="N29" s="40">
        <f t="shared" si="3"/>
        <v>299.99920000000003</v>
      </c>
      <c r="O29" s="5" t="s">
        <v>194</v>
      </c>
      <c r="P29" s="5" t="s">
        <v>94</v>
      </c>
      <c r="Q29" s="4" t="s">
        <v>95</v>
      </c>
      <c r="R29" s="22">
        <v>1</v>
      </c>
      <c r="S29" s="5" t="s">
        <v>22</v>
      </c>
    </row>
    <row r="30" spans="1:19" x14ac:dyDescent="0.2">
      <c r="A30" s="22">
        <v>29</v>
      </c>
      <c r="B30" s="3">
        <v>46161</v>
      </c>
      <c r="C30" s="4" t="s">
        <v>18</v>
      </c>
      <c r="D30" s="4" t="s">
        <v>96</v>
      </c>
      <c r="E30" s="15" t="s">
        <v>97</v>
      </c>
      <c r="F30" s="4" t="s">
        <v>46</v>
      </c>
      <c r="G30" s="4" t="s">
        <v>22</v>
      </c>
      <c r="H30" s="6">
        <v>305.18</v>
      </c>
      <c r="I30" s="6">
        <v>48.82</v>
      </c>
      <c r="J30" s="6">
        <v>0</v>
      </c>
      <c r="K30" s="6">
        <v>0</v>
      </c>
      <c r="L30" s="6">
        <v>0</v>
      </c>
      <c r="M30" s="6">
        <v>0</v>
      </c>
      <c r="N30" s="40">
        <f t="shared" si="3"/>
        <v>354</v>
      </c>
      <c r="O30" s="5" t="s">
        <v>27</v>
      </c>
      <c r="P30" s="5" t="s">
        <v>47</v>
      </c>
      <c r="Q30" s="4" t="s">
        <v>98</v>
      </c>
      <c r="R30" s="22">
        <v>1</v>
      </c>
      <c r="S30" s="5" t="s">
        <v>22</v>
      </c>
    </row>
    <row r="31" spans="1:19" x14ac:dyDescent="0.2">
      <c r="A31" s="22">
        <v>30</v>
      </c>
      <c r="B31" s="3">
        <v>46169</v>
      </c>
      <c r="C31" s="4" t="s">
        <v>18</v>
      </c>
      <c r="D31" s="4" t="s">
        <v>99</v>
      </c>
      <c r="E31" s="15" t="s">
        <v>100</v>
      </c>
      <c r="F31" s="4" t="s">
        <v>46</v>
      </c>
      <c r="G31" s="4" t="s">
        <v>22</v>
      </c>
      <c r="H31" s="6">
        <v>130.16999999999999</v>
      </c>
      <c r="I31" s="6">
        <f t="shared" si="4"/>
        <v>20.827199999999998</v>
      </c>
      <c r="J31" s="6">
        <v>0</v>
      </c>
      <c r="K31" s="6">
        <v>0</v>
      </c>
      <c r="L31" s="6">
        <v>0</v>
      </c>
      <c r="M31" s="6">
        <v>0</v>
      </c>
      <c r="N31" s="40">
        <f t="shared" si="3"/>
        <v>150.99719999999999</v>
      </c>
      <c r="O31" s="5" t="s">
        <v>27</v>
      </c>
      <c r="P31" s="5" t="s">
        <v>101</v>
      </c>
      <c r="Q31" s="4" t="s">
        <v>102</v>
      </c>
      <c r="R31" s="22">
        <v>1</v>
      </c>
      <c r="S31" s="5" t="s">
        <v>22</v>
      </c>
    </row>
    <row r="32" spans="1:19" x14ac:dyDescent="0.2">
      <c r="A32" s="22">
        <v>31</v>
      </c>
      <c r="B32" s="3">
        <v>46168</v>
      </c>
      <c r="C32" s="4" t="s">
        <v>18</v>
      </c>
      <c r="D32" s="4" t="s">
        <v>103</v>
      </c>
      <c r="E32" s="15" t="s">
        <v>104</v>
      </c>
      <c r="F32" s="4" t="s">
        <v>46</v>
      </c>
      <c r="G32" s="4" t="s">
        <v>22</v>
      </c>
      <c r="H32" s="6">
        <v>1143.0999999999999</v>
      </c>
      <c r="I32" s="6">
        <f t="shared" si="4"/>
        <v>182.89599999999999</v>
      </c>
      <c r="J32" s="6">
        <v>0</v>
      </c>
      <c r="K32" s="6">
        <v>0</v>
      </c>
      <c r="L32" s="6">
        <v>0</v>
      </c>
      <c r="M32" s="6">
        <v>0</v>
      </c>
      <c r="N32" s="40">
        <f t="shared" si="3"/>
        <v>1325.9959999999999</v>
      </c>
      <c r="O32" s="5" t="s">
        <v>195</v>
      </c>
      <c r="P32" s="5" t="s">
        <v>105</v>
      </c>
      <c r="Q32" s="4" t="s">
        <v>106</v>
      </c>
      <c r="R32" s="22">
        <v>1</v>
      </c>
      <c r="S32" s="5" t="s">
        <v>22</v>
      </c>
    </row>
    <row r="33" spans="1:19" x14ac:dyDescent="0.2">
      <c r="A33" s="22">
        <v>32</v>
      </c>
      <c r="B33" s="3">
        <v>46161</v>
      </c>
      <c r="C33" s="4" t="s">
        <v>18</v>
      </c>
      <c r="D33" s="4" t="s">
        <v>107</v>
      </c>
      <c r="E33" s="15" t="s">
        <v>108</v>
      </c>
      <c r="F33" s="4" t="s">
        <v>46</v>
      </c>
      <c r="G33" s="4" t="s">
        <v>22</v>
      </c>
      <c r="H33" s="6">
        <v>54.31</v>
      </c>
      <c r="I33" s="6">
        <f t="shared" si="4"/>
        <v>8.6896000000000004</v>
      </c>
      <c r="J33" s="6">
        <v>0</v>
      </c>
      <c r="K33" s="6">
        <v>0</v>
      </c>
      <c r="L33" s="6">
        <v>0</v>
      </c>
      <c r="M33" s="6">
        <v>0</v>
      </c>
      <c r="N33" s="40">
        <f t="shared" si="3"/>
        <v>62.999600000000001</v>
      </c>
      <c r="O33" s="5" t="s">
        <v>27</v>
      </c>
      <c r="P33" s="5" t="s">
        <v>47</v>
      </c>
      <c r="Q33" s="4" t="s">
        <v>109</v>
      </c>
      <c r="R33" s="22">
        <v>1</v>
      </c>
      <c r="S33" s="5" t="s">
        <v>22</v>
      </c>
    </row>
    <row r="34" spans="1:19" x14ac:dyDescent="0.2">
      <c r="A34" s="22">
        <v>33</v>
      </c>
      <c r="B34" s="3">
        <v>46170</v>
      </c>
      <c r="C34" s="4" t="s">
        <v>18</v>
      </c>
      <c r="D34" s="4" t="s">
        <v>110</v>
      </c>
      <c r="E34" s="15" t="s">
        <v>57</v>
      </c>
      <c r="F34" s="4" t="s">
        <v>46</v>
      </c>
      <c r="G34" s="4" t="s">
        <v>22</v>
      </c>
      <c r="H34" s="6">
        <v>319.82</v>
      </c>
      <c r="I34" s="6">
        <v>51.18</v>
      </c>
      <c r="J34" s="6">
        <v>0</v>
      </c>
      <c r="K34" s="6">
        <v>0</v>
      </c>
      <c r="L34" s="6">
        <v>0</v>
      </c>
      <c r="M34" s="6">
        <v>0</v>
      </c>
      <c r="N34" s="40">
        <f t="shared" si="3"/>
        <v>371</v>
      </c>
      <c r="O34" s="5" t="s">
        <v>194</v>
      </c>
      <c r="P34" s="5" t="s">
        <v>111</v>
      </c>
      <c r="Q34" s="4" t="s">
        <v>59</v>
      </c>
      <c r="R34" s="22">
        <v>1</v>
      </c>
      <c r="S34" s="5" t="s">
        <v>22</v>
      </c>
    </row>
    <row r="35" spans="1:19" x14ac:dyDescent="0.2">
      <c r="A35" s="22">
        <v>34</v>
      </c>
      <c r="B35" s="3">
        <v>46170</v>
      </c>
      <c r="C35" s="4" t="s">
        <v>18</v>
      </c>
      <c r="D35" s="4" t="s">
        <v>112</v>
      </c>
      <c r="E35" s="15" t="s">
        <v>93</v>
      </c>
      <c r="F35" s="4" t="s">
        <v>46</v>
      </c>
      <c r="G35" s="4" t="s">
        <v>22</v>
      </c>
      <c r="H35" s="6">
        <v>848.28</v>
      </c>
      <c r="I35" s="6">
        <f t="shared" si="4"/>
        <v>135.72479999999999</v>
      </c>
      <c r="J35" s="6">
        <v>0</v>
      </c>
      <c r="K35" s="6">
        <v>0</v>
      </c>
      <c r="L35" s="6">
        <v>0</v>
      </c>
      <c r="M35" s="6">
        <v>0</v>
      </c>
      <c r="N35" s="40">
        <f t="shared" si="3"/>
        <v>984.00479999999993</v>
      </c>
      <c r="O35" s="5" t="s">
        <v>194</v>
      </c>
      <c r="P35" s="5" t="s">
        <v>113</v>
      </c>
      <c r="Q35" s="4" t="s">
        <v>95</v>
      </c>
      <c r="R35" s="22">
        <v>1</v>
      </c>
      <c r="S35" s="5" t="s">
        <v>22</v>
      </c>
    </row>
    <row r="36" spans="1:19" x14ac:dyDescent="0.2">
      <c r="A36" s="22">
        <v>35</v>
      </c>
      <c r="B36" s="3">
        <v>46165</v>
      </c>
      <c r="C36" s="4" t="s">
        <v>18</v>
      </c>
      <c r="D36" s="4" t="s">
        <v>114</v>
      </c>
      <c r="E36" s="15" t="s">
        <v>93</v>
      </c>
      <c r="F36" s="4" t="s">
        <v>46</v>
      </c>
      <c r="G36" s="4" t="s">
        <v>22</v>
      </c>
      <c r="H36" s="6">
        <v>831.9</v>
      </c>
      <c r="I36" s="6">
        <f t="shared" si="4"/>
        <v>133.10399999999998</v>
      </c>
      <c r="J36" s="6">
        <v>0</v>
      </c>
      <c r="K36" s="6">
        <v>0</v>
      </c>
      <c r="L36" s="6">
        <v>0</v>
      </c>
      <c r="M36" s="6">
        <v>0</v>
      </c>
      <c r="N36" s="40">
        <f t="shared" si="3"/>
        <v>965.00399999999991</v>
      </c>
      <c r="O36" s="5" t="s">
        <v>194</v>
      </c>
      <c r="P36" s="5" t="s">
        <v>115</v>
      </c>
      <c r="Q36" s="4" t="s">
        <v>95</v>
      </c>
      <c r="R36" s="22">
        <v>1</v>
      </c>
      <c r="S36" s="5" t="s">
        <v>22</v>
      </c>
    </row>
    <row r="37" spans="1:19" x14ac:dyDescent="0.2">
      <c r="A37" s="22">
        <v>36</v>
      </c>
      <c r="B37" s="3">
        <v>46153</v>
      </c>
      <c r="C37" s="4" t="s">
        <v>18</v>
      </c>
      <c r="D37" s="4" t="s">
        <v>116</v>
      </c>
      <c r="E37" s="15" t="s">
        <v>64</v>
      </c>
      <c r="F37" s="4" t="s">
        <v>46</v>
      </c>
      <c r="G37" s="4" t="s">
        <v>22</v>
      </c>
      <c r="H37" s="6">
        <v>228.02</v>
      </c>
      <c r="I37" s="6">
        <f t="shared" si="4"/>
        <v>36.483200000000004</v>
      </c>
      <c r="J37" s="6">
        <v>0</v>
      </c>
      <c r="K37" s="6">
        <v>0</v>
      </c>
      <c r="L37" s="6">
        <v>0</v>
      </c>
      <c r="M37" s="6">
        <v>0</v>
      </c>
      <c r="N37" s="40">
        <f t="shared" si="3"/>
        <v>264.50319999999999</v>
      </c>
      <c r="O37" s="5" t="s">
        <v>194</v>
      </c>
      <c r="P37" s="5" t="s">
        <v>117</v>
      </c>
      <c r="Q37" s="4" t="s">
        <v>66</v>
      </c>
      <c r="R37" s="22">
        <v>1</v>
      </c>
      <c r="S37" s="5" t="s">
        <v>22</v>
      </c>
    </row>
    <row r="38" spans="1:19" x14ac:dyDescent="0.2">
      <c r="A38" s="22">
        <v>37</v>
      </c>
      <c r="B38" s="3">
        <v>46168</v>
      </c>
      <c r="C38" s="4" t="s">
        <v>18</v>
      </c>
      <c r="D38" s="4" t="s">
        <v>118</v>
      </c>
      <c r="E38" s="15" t="s">
        <v>100</v>
      </c>
      <c r="F38" s="4" t="s">
        <v>46</v>
      </c>
      <c r="G38" s="4" t="s">
        <v>22</v>
      </c>
      <c r="H38" s="6">
        <v>258.60000000000002</v>
      </c>
      <c r="I38" s="6">
        <f t="shared" si="4"/>
        <v>41.376000000000005</v>
      </c>
      <c r="J38" s="6">
        <v>0</v>
      </c>
      <c r="K38" s="6">
        <v>0</v>
      </c>
      <c r="L38" s="6">
        <v>0</v>
      </c>
      <c r="M38" s="6">
        <v>0</v>
      </c>
      <c r="N38" s="40">
        <f t="shared" si="3"/>
        <v>299.976</v>
      </c>
      <c r="O38" s="5" t="s">
        <v>194</v>
      </c>
      <c r="P38" s="5" t="s">
        <v>119</v>
      </c>
      <c r="Q38" s="4" t="s">
        <v>102</v>
      </c>
      <c r="R38" s="22">
        <v>1</v>
      </c>
      <c r="S38" s="5" t="s">
        <v>22</v>
      </c>
    </row>
    <row r="39" spans="1:19" x14ac:dyDescent="0.2">
      <c r="A39" s="22">
        <v>38</v>
      </c>
      <c r="B39" s="3">
        <v>46154</v>
      </c>
      <c r="C39" s="4" t="s">
        <v>18</v>
      </c>
      <c r="D39" s="4" t="s">
        <v>120</v>
      </c>
      <c r="E39" s="15" t="s">
        <v>68</v>
      </c>
      <c r="F39" s="4" t="s">
        <v>46</v>
      </c>
      <c r="G39" s="4" t="s">
        <v>22</v>
      </c>
      <c r="H39" s="6">
        <v>456.33</v>
      </c>
      <c r="I39" s="6">
        <v>73.02</v>
      </c>
      <c r="J39" s="6">
        <v>0</v>
      </c>
      <c r="K39" s="6">
        <v>0</v>
      </c>
      <c r="L39" s="6">
        <v>0</v>
      </c>
      <c r="M39" s="6">
        <v>0</v>
      </c>
      <c r="N39" s="40">
        <f t="shared" si="3"/>
        <v>529.35</v>
      </c>
      <c r="O39" s="5" t="s">
        <v>194</v>
      </c>
      <c r="P39" s="5" t="s">
        <v>121</v>
      </c>
      <c r="Q39" s="4" t="s">
        <v>70</v>
      </c>
      <c r="R39" s="22">
        <v>1</v>
      </c>
      <c r="S39" s="5" t="s">
        <v>22</v>
      </c>
    </row>
    <row r="40" spans="1:19" x14ac:dyDescent="0.2">
      <c r="A40" s="22">
        <v>39</v>
      </c>
      <c r="B40" s="3">
        <v>46147</v>
      </c>
      <c r="C40" s="4" t="s">
        <v>41</v>
      </c>
      <c r="D40" s="4" t="s">
        <v>3</v>
      </c>
      <c r="E40" s="15" t="s">
        <v>122</v>
      </c>
      <c r="F40" s="4" t="s">
        <v>46</v>
      </c>
      <c r="G40" s="4" t="s">
        <v>22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6">
        <v>163.80000000000001</v>
      </c>
      <c r="O40" s="12" t="s">
        <v>163</v>
      </c>
      <c r="P40" s="5" t="s">
        <v>43</v>
      </c>
      <c r="Q40" s="4" t="s">
        <v>43</v>
      </c>
      <c r="R40" s="22">
        <v>1</v>
      </c>
      <c r="S40" s="5" t="s">
        <v>22</v>
      </c>
    </row>
    <row r="41" spans="1:19" x14ac:dyDescent="0.2">
      <c r="A41" s="22">
        <v>40</v>
      </c>
      <c r="B41" s="3">
        <v>46156</v>
      </c>
      <c r="C41" s="4" t="s">
        <v>41</v>
      </c>
      <c r="D41" s="4" t="s">
        <v>3</v>
      </c>
      <c r="E41" s="15" t="s">
        <v>123</v>
      </c>
      <c r="F41" s="4" t="s">
        <v>46</v>
      </c>
      <c r="G41" s="4" t="s">
        <v>22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6">
        <v>56.03</v>
      </c>
      <c r="O41" s="12" t="s">
        <v>163</v>
      </c>
      <c r="P41" s="5" t="s">
        <v>43</v>
      </c>
      <c r="Q41" s="4" t="s">
        <v>43</v>
      </c>
      <c r="R41" s="22">
        <v>1</v>
      </c>
      <c r="S41" s="5" t="s">
        <v>22</v>
      </c>
    </row>
    <row r="42" spans="1:19" ht="15" x14ac:dyDescent="0.25">
      <c r="A42" s="22">
        <v>41</v>
      </c>
      <c r="B42" s="20">
        <v>46169</v>
      </c>
      <c r="C42" s="9" t="s">
        <v>18</v>
      </c>
      <c r="D42" s="9" t="s">
        <v>128</v>
      </c>
      <c r="E42" s="8" t="s">
        <v>129</v>
      </c>
      <c r="F42" s="9" t="s">
        <v>130</v>
      </c>
      <c r="G42" s="22" t="s">
        <v>147</v>
      </c>
      <c r="H42" s="41">
        <v>179.31</v>
      </c>
      <c r="I42" s="41">
        <f>ROUND((H42-L42)*0.16,2)</f>
        <v>28.69</v>
      </c>
      <c r="J42" s="42">
        <v>0</v>
      </c>
      <c r="K42" s="42">
        <v>0</v>
      </c>
      <c r="L42" s="42">
        <v>0</v>
      </c>
      <c r="M42" s="43">
        <f>+IF(P42="HOSPEDAJE",ROUND(H42*0.04,2),0)</f>
        <v>0</v>
      </c>
      <c r="N42" s="43">
        <f>H42+I42+M42-L42-K42-J42</f>
        <v>208</v>
      </c>
      <c r="O42" s="8" t="s">
        <v>27</v>
      </c>
      <c r="P42" s="8" t="s">
        <v>131</v>
      </c>
      <c r="Q42" s="9" t="s">
        <v>132</v>
      </c>
      <c r="R42" s="22">
        <v>2</v>
      </c>
      <c r="S42" s="5" t="s">
        <v>147</v>
      </c>
    </row>
    <row r="43" spans="1:19" ht="15" x14ac:dyDescent="0.25">
      <c r="A43" s="22">
        <v>42</v>
      </c>
      <c r="B43" s="20">
        <v>46169</v>
      </c>
      <c r="C43" s="9" t="s">
        <v>18</v>
      </c>
      <c r="D43" s="9" t="s">
        <v>133</v>
      </c>
      <c r="E43" s="8" t="s">
        <v>61</v>
      </c>
      <c r="F43" s="9" t="s">
        <v>130</v>
      </c>
      <c r="G43" s="22" t="s">
        <v>147</v>
      </c>
      <c r="H43" s="41">
        <v>49.14</v>
      </c>
      <c r="I43" s="41">
        <f>ROUND((H43-L43)*0.16,2)</f>
        <v>7.86</v>
      </c>
      <c r="J43" s="42">
        <v>0</v>
      </c>
      <c r="K43" s="42">
        <v>0</v>
      </c>
      <c r="L43" s="42">
        <v>0</v>
      </c>
      <c r="M43" s="43">
        <f>+IF(P43="HOSPEDAJE",ROUND(H43*0.04,2),0)</f>
        <v>0</v>
      </c>
      <c r="N43" s="43">
        <f t="shared" ref="N43:N46" si="5">H43+I43+M43-L43-K43-J43</f>
        <v>57</v>
      </c>
      <c r="O43" s="8" t="s">
        <v>27</v>
      </c>
      <c r="P43" s="8" t="s">
        <v>134</v>
      </c>
      <c r="Q43" s="9" t="s">
        <v>62</v>
      </c>
      <c r="R43" s="22">
        <v>2</v>
      </c>
      <c r="S43" s="5" t="s">
        <v>147</v>
      </c>
    </row>
    <row r="44" spans="1:19" ht="15" x14ac:dyDescent="0.25">
      <c r="A44" s="22">
        <v>43</v>
      </c>
      <c r="B44" s="20">
        <v>46166</v>
      </c>
      <c r="C44" s="9" t="s">
        <v>18</v>
      </c>
      <c r="D44" s="9" t="s">
        <v>135</v>
      </c>
      <c r="E44" s="8" t="s">
        <v>136</v>
      </c>
      <c r="F44" s="9" t="s">
        <v>130</v>
      </c>
      <c r="G44" s="22" t="s">
        <v>147</v>
      </c>
      <c r="H44" s="41">
        <v>117.59</v>
      </c>
      <c r="I44" s="41">
        <v>9.41</v>
      </c>
      <c r="J44" s="42">
        <v>0</v>
      </c>
      <c r="K44" s="42">
        <v>0</v>
      </c>
      <c r="L44" s="42">
        <v>0</v>
      </c>
      <c r="M44" s="43">
        <f>+IF(P44="HOSPEDAJE",ROUND(H44*0.04,2),0)</f>
        <v>0</v>
      </c>
      <c r="N44" s="43">
        <f t="shared" si="5"/>
        <v>127</v>
      </c>
      <c r="O44" s="5" t="s">
        <v>194</v>
      </c>
      <c r="P44" s="8" t="s">
        <v>137</v>
      </c>
      <c r="Q44" s="9" t="s">
        <v>138</v>
      </c>
      <c r="R44" s="22">
        <v>2</v>
      </c>
      <c r="S44" s="5" t="s">
        <v>147</v>
      </c>
    </row>
    <row r="45" spans="1:19" ht="15" x14ac:dyDescent="0.25">
      <c r="A45" s="22">
        <v>44</v>
      </c>
      <c r="B45" s="20">
        <v>46169</v>
      </c>
      <c r="C45" s="9" t="s">
        <v>18</v>
      </c>
      <c r="D45" s="9" t="s">
        <v>139</v>
      </c>
      <c r="E45" s="8" t="s">
        <v>140</v>
      </c>
      <c r="F45" s="9" t="s">
        <v>130</v>
      </c>
      <c r="G45" s="22" t="s">
        <v>147</v>
      </c>
      <c r="H45" s="41">
        <v>20.69</v>
      </c>
      <c r="I45" s="41">
        <f>ROUND((H45-L45)*0.16,2)</f>
        <v>3.31</v>
      </c>
      <c r="J45" s="42">
        <v>0</v>
      </c>
      <c r="K45" s="42">
        <v>0</v>
      </c>
      <c r="L45" s="42">
        <v>0</v>
      </c>
      <c r="M45" s="43">
        <f>+IF(P45="HOSPEDAJE",ROUND(H45*0.04,2),0)</f>
        <v>0</v>
      </c>
      <c r="N45" s="43">
        <f t="shared" si="5"/>
        <v>24</v>
      </c>
      <c r="O45" s="8" t="s">
        <v>27</v>
      </c>
      <c r="P45" s="8" t="s">
        <v>141</v>
      </c>
      <c r="Q45" s="9" t="s">
        <v>142</v>
      </c>
      <c r="R45" s="22">
        <v>2</v>
      </c>
      <c r="S45" s="5" t="s">
        <v>147</v>
      </c>
    </row>
    <row r="46" spans="1:19" ht="15" x14ac:dyDescent="0.25">
      <c r="A46" s="22">
        <v>45</v>
      </c>
      <c r="B46" s="20">
        <v>46167</v>
      </c>
      <c r="C46" s="9" t="s">
        <v>18</v>
      </c>
      <c r="D46" s="9" t="s">
        <v>143</v>
      </c>
      <c r="E46" s="8" t="s">
        <v>144</v>
      </c>
      <c r="F46" s="9" t="s">
        <v>130</v>
      </c>
      <c r="G46" s="22" t="s">
        <v>147</v>
      </c>
      <c r="H46" s="41">
        <v>1000</v>
      </c>
      <c r="I46" s="41">
        <v>80</v>
      </c>
      <c r="J46" s="42">
        <v>0</v>
      </c>
      <c r="K46" s="42">
        <v>0</v>
      </c>
      <c r="L46" s="42">
        <v>0</v>
      </c>
      <c r="M46" s="43">
        <f>+IF(P46="HOSPEDAJE",ROUND(H46*0.04,2),0)</f>
        <v>0</v>
      </c>
      <c r="N46" s="43">
        <f t="shared" si="5"/>
        <v>1080</v>
      </c>
      <c r="O46" s="5" t="s">
        <v>194</v>
      </c>
      <c r="P46" s="8" t="s">
        <v>145</v>
      </c>
      <c r="Q46" s="9" t="s">
        <v>146</v>
      </c>
      <c r="R46" s="22">
        <v>2</v>
      </c>
      <c r="S46" s="5" t="s">
        <v>147</v>
      </c>
    </row>
    <row r="47" spans="1:19" ht="15" x14ac:dyDescent="0.25">
      <c r="A47" s="22">
        <v>46</v>
      </c>
      <c r="B47" s="20">
        <v>46165</v>
      </c>
      <c r="C47" s="9" t="s">
        <v>41</v>
      </c>
      <c r="D47" s="9" t="s">
        <v>148</v>
      </c>
      <c r="E47" s="10" t="s">
        <v>149</v>
      </c>
      <c r="F47" s="9" t="s">
        <v>130</v>
      </c>
      <c r="G47" s="22" t="s">
        <v>147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41">
        <v>1082</v>
      </c>
      <c r="O47" s="12" t="s">
        <v>163</v>
      </c>
      <c r="P47" s="5" t="s">
        <v>43</v>
      </c>
      <c r="Q47" s="5" t="s">
        <v>43</v>
      </c>
      <c r="R47" s="22">
        <v>2</v>
      </c>
      <c r="S47" s="5" t="s">
        <v>147</v>
      </c>
    </row>
    <row r="48" spans="1:19" ht="15" x14ac:dyDescent="0.25">
      <c r="A48" s="22">
        <v>47</v>
      </c>
      <c r="B48" s="20">
        <v>46165</v>
      </c>
      <c r="C48" s="9" t="s">
        <v>41</v>
      </c>
      <c r="D48" s="9" t="s">
        <v>148</v>
      </c>
      <c r="E48" s="10" t="s">
        <v>150</v>
      </c>
      <c r="F48" s="9" t="s">
        <v>130</v>
      </c>
      <c r="G48" s="22" t="s">
        <v>147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41">
        <v>1288.57</v>
      </c>
      <c r="O48" s="12" t="s">
        <v>163</v>
      </c>
      <c r="P48" s="5" t="s">
        <v>43</v>
      </c>
      <c r="Q48" s="5" t="s">
        <v>43</v>
      </c>
      <c r="R48" s="22">
        <v>2</v>
      </c>
      <c r="S48" s="5" t="s">
        <v>147</v>
      </c>
    </row>
    <row r="49" spans="1:19" ht="15" x14ac:dyDescent="0.25">
      <c r="A49" s="22">
        <v>48</v>
      </c>
      <c r="B49" s="20">
        <v>46165</v>
      </c>
      <c r="C49" s="9" t="s">
        <v>41</v>
      </c>
      <c r="D49" s="9" t="s">
        <v>148</v>
      </c>
      <c r="E49" s="10" t="s">
        <v>149</v>
      </c>
      <c r="F49" s="9" t="s">
        <v>130</v>
      </c>
      <c r="G49" s="22" t="s">
        <v>147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41">
        <v>1360.33</v>
      </c>
      <c r="O49" s="12" t="s">
        <v>163</v>
      </c>
      <c r="P49" s="5" t="s">
        <v>43</v>
      </c>
      <c r="Q49" s="5" t="s">
        <v>43</v>
      </c>
      <c r="R49" s="22">
        <v>2</v>
      </c>
      <c r="S49" s="5" t="s">
        <v>147</v>
      </c>
    </row>
    <row r="50" spans="1:19" ht="15" x14ac:dyDescent="0.25">
      <c r="A50" s="22">
        <v>49</v>
      </c>
      <c r="B50" s="20">
        <v>46165</v>
      </c>
      <c r="C50" s="9" t="s">
        <v>41</v>
      </c>
      <c r="D50" s="9" t="s">
        <v>148</v>
      </c>
      <c r="E50" s="10" t="s">
        <v>149</v>
      </c>
      <c r="F50" s="9" t="s">
        <v>130</v>
      </c>
      <c r="G50" s="22" t="s">
        <v>147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41">
        <v>1460.82</v>
      </c>
      <c r="O50" s="12" t="s">
        <v>163</v>
      </c>
      <c r="P50" s="5" t="s">
        <v>43</v>
      </c>
      <c r="Q50" s="5" t="s">
        <v>43</v>
      </c>
      <c r="R50" s="22">
        <v>2</v>
      </c>
      <c r="S50" s="5" t="s">
        <v>147</v>
      </c>
    </row>
    <row r="51" spans="1:19" ht="15" x14ac:dyDescent="0.25">
      <c r="A51" s="22">
        <v>50</v>
      </c>
      <c r="B51" s="20">
        <v>46165</v>
      </c>
      <c r="C51" s="9" t="s">
        <v>41</v>
      </c>
      <c r="D51" s="9" t="s">
        <v>148</v>
      </c>
      <c r="E51" s="10" t="s">
        <v>149</v>
      </c>
      <c r="F51" s="9" t="s">
        <v>130</v>
      </c>
      <c r="G51" s="22" t="s">
        <v>147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41">
        <v>1765.62</v>
      </c>
      <c r="O51" s="12" t="s">
        <v>163</v>
      </c>
      <c r="P51" s="5" t="s">
        <v>43</v>
      </c>
      <c r="Q51" s="5" t="s">
        <v>43</v>
      </c>
      <c r="R51" s="22">
        <v>2</v>
      </c>
      <c r="S51" s="5" t="s">
        <v>147</v>
      </c>
    </row>
    <row r="52" spans="1:19" ht="15" x14ac:dyDescent="0.25">
      <c r="A52" s="22">
        <v>51</v>
      </c>
      <c r="B52" s="24">
        <v>46161</v>
      </c>
      <c r="C52" s="25" t="s">
        <v>18</v>
      </c>
      <c r="D52" s="2" t="s">
        <v>151</v>
      </c>
      <c r="E52" s="2" t="s">
        <v>152</v>
      </c>
      <c r="F52" s="26" t="s">
        <v>153</v>
      </c>
      <c r="G52" s="26" t="s">
        <v>154</v>
      </c>
      <c r="H52" s="6">
        <v>126.72</v>
      </c>
      <c r="I52" s="6">
        <f t="shared" ref="I52:I54" si="6">+(H52-L52)*0.16</f>
        <v>20.275200000000002</v>
      </c>
      <c r="J52" s="6">
        <v>0</v>
      </c>
      <c r="K52" s="6">
        <v>0</v>
      </c>
      <c r="L52" s="6">
        <v>0</v>
      </c>
      <c r="M52" s="6">
        <v>0</v>
      </c>
      <c r="N52" s="6">
        <v>146.99520000000001</v>
      </c>
      <c r="O52" s="5" t="s">
        <v>194</v>
      </c>
      <c r="P52" t="s">
        <v>155</v>
      </c>
      <c r="Q52" s="2" t="s">
        <v>156</v>
      </c>
      <c r="R52" s="22">
        <v>3</v>
      </c>
      <c r="S52" s="5" t="s">
        <v>154</v>
      </c>
    </row>
    <row r="53" spans="1:19" ht="15" x14ac:dyDescent="0.25">
      <c r="A53" s="22">
        <v>52</v>
      </c>
      <c r="B53" s="24">
        <v>46166</v>
      </c>
      <c r="C53" s="25" t="s">
        <v>18</v>
      </c>
      <c r="D53" s="2" t="s">
        <v>157</v>
      </c>
      <c r="E53" s="2" t="s">
        <v>152</v>
      </c>
      <c r="F53" s="26" t="s">
        <v>153</v>
      </c>
      <c r="G53" s="26" t="s">
        <v>154</v>
      </c>
      <c r="H53" s="6">
        <v>126.72</v>
      </c>
      <c r="I53" s="6">
        <f t="shared" si="6"/>
        <v>20.275200000000002</v>
      </c>
      <c r="J53" s="6">
        <v>0</v>
      </c>
      <c r="K53" s="6">
        <v>0</v>
      </c>
      <c r="L53" s="6">
        <v>0</v>
      </c>
      <c r="M53" s="6">
        <v>0</v>
      </c>
      <c r="N53" s="13">
        <v>146.99520000000001</v>
      </c>
      <c r="O53" s="5" t="s">
        <v>194</v>
      </c>
      <c r="P53" t="s">
        <v>155</v>
      </c>
      <c r="Q53" s="2" t="s">
        <v>156</v>
      </c>
      <c r="R53" s="22">
        <v>3</v>
      </c>
      <c r="S53" s="5" t="s">
        <v>154</v>
      </c>
    </row>
    <row r="54" spans="1:19" ht="15" x14ac:dyDescent="0.25">
      <c r="A54" s="22">
        <v>53</v>
      </c>
      <c r="B54" s="24">
        <v>46164</v>
      </c>
      <c r="C54" s="25" t="s">
        <v>18</v>
      </c>
      <c r="D54" s="2" t="s">
        <v>158</v>
      </c>
      <c r="E54" s="2" t="s">
        <v>159</v>
      </c>
      <c r="F54" s="26" t="s">
        <v>153</v>
      </c>
      <c r="G54" s="26" t="s">
        <v>154</v>
      </c>
      <c r="H54" s="6">
        <v>144.83000000000001</v>
      </c>
      <c r="I54" s="6">
        <f t="shared" si="6"/>
        <v>23.172800000000002</v>
      </c>
      <c r="J54" s="6">
        <v>0</v>
      </c>
      <c r="K54" s="6">
        <v>0</v>
      </c>
      <c r="L54" s="6">
        <v>0</v>
      </c>
      <c r="M54" s="6">
        <v>0</v>
      </c>
      <c r="N54" s="6">
        <v>168.00280000000001</v>
      </c>
      <c r="O54" s="5" t="s">
        <v>194</v>
      </c>
      <c r="P54" t="s">
        <v>160</v>
      </c>
      <c r="Q54" s="21" t="s">
        <v>161</v>
      </c>
      <c r="R54" s="22">
        <v>3</v>
      </c>
      <c r="S54" s="5" t="s">
        <v>154</v>
      </c>
    </row>
    <row r="55" spans="1:19" ht="15" x14ac:dyDescent="0.25">
      <c r="A55" s="22">
        <v>54</v>
      </c>
      <c r="B55" s="24">
        <v>46162</v>
      </c>
      <c r="C55" s="27" t="s">
        <v>41</v>
      </c>
      <c r="D55" s="21" t="s">
        <v>148</v>
      </c>
      <c r="E55" s="28" t="s">
        <v>162</v>
      </c>
      <c r="F55" s="26" t="s">
        <v>153</v>
      </c>
      <c r="G55" s="26" t="s">
        <v>154</v>
      </c>
      <c r="H55" s="13">
        <v>0</v>
      </c>
      <c r="I55" s="13">
        <v>0</v>
      </c>
      <c r="J55" s="6">
        <v>0</v>
      </c>
      <c r="K55" s="6">
        <v>0</v>
      </c>
      <c r="L55" s="6">
        <v>0</v>
      </c>
      <c r="M55" s="6">
        <v>0</v>
      </c>
      <c r="N55" s="44">
        <v>46</v>
      </c>
      <c r="O55" s="12" t="s">
        <v>163</v>
      </c>
      <c r="P55" s="5" t="s">
        <v>43</v>
      </c>
      <c r="Q55" s="5" t="s">
        <v>43</v>
      </c>
      <c r="R55" s="22">
        <v>3</v>
      </c>
      <c r="S55" s="5" t="s">
        <v>154</v>
      </c>
    </row>
    <row r="56" spans="1:19" ht="15" x14ac:dyDescent="0.25">
      <c r="A56" s="22">
        <v>55</v>
      </c>
      <c r="B56" s="24">
        <v>46163</v>
      </c>
      <c r="C56" s="27" t="s">
        <v>41</v>
      </c>
      <c r="D56" s="21" t="s">
        <v>148</v>
      </c>
      <c r="E56" s="28" t="s">
        <v>162</v>
      </c>
      <c r="F56" s="26" t="s">
        <v>153</v>
      </c>
      <c r="G56" s="26" t="s">
        <v>154</v>
      </c>
      <c r="H56" s="13">
        <v>0</v>
      </c>
      <c r="I56" s="13">
        <v>0</v>
      </c>
      <c r="J56" s="6">
        <v>0</v>
      </c>
      <c r="K56" s="6">
        <v>0</v>
      </c>
      <c r="L56" s="6">
        <v>0</v>
      </c>
      <c r="M56" s="6">
        <v>0</v>
      </c>
      <c r="N56" s="44">
        <v>46</v>
      </c>
      <c r="O56" s="12" t="s">
        <v>163</v>
      </c>
      <c r="P56" s="5" t="s">
        <v>43</v>
      </c>
      <c r="Q56" s="5" t="s">
        <v>43</v>
      </c>
      <c r="R56" s="22">
        <v>3</v>
      </c>
      <c r="S56" s="5" t="s">
        <v>154</v>
      </c>
    </row>
    <row r="57" spans="1:19" ht="15" x14ac:dyDescent="0.25">
      <c r="A57" s="22">
        <v>56</v>
      </c>
      <c r="B57" s="24">
        <v>46165</v>
      </c>
      <c r="C57" s="27" t="s">
        <v>41</v>
      </c>
      <c r="D57" s="21" t="s">
        <v>148</v>
      </c>
      <c r="E57" s="28" t="s">
        <v>162</v>
      </c>
      <c r="F57" s="26" t="s">
        <v>153</v>
      </c>
      <c r="G57" s="26" t="s">
        <v>154</v>
      </c>
      <c r="H57" s="13">
        <v>0</v>
      </c>
      <c r="I57" s="13">
        <v>0</v>
      </c>
      <c r="J57" s="6">
        <v>0</v>
      </c>
      <c r="K57" s="6">
        <v>0</v>
      </c>
      <c r="L57" s="6">
        <v>0</v>
      </c>
      <c r="M57" s="6">
        <v>0</v>
      </c>
      <c r="N57" s="44">
        <v>46</v>
      </c>
      <c r="O57" s="12" t="s">
        <v>163</v>
      </c>
      <c r="P57" s="5" t="s">
        <v>43</v>
      </c>
      <c r="Q57" s="5" t="s">
        <v>43</v>
      </c>
      <c r="R57" s="22">
        <v>3</v>
      </c>
      <c r="S57" s="5" t="s">
        <v>154</v>
      </c>
    </row>
    <row r="58" spans="1:19" ht="15" x14ac:dyDescent="0.25">
      <c r="A58" s="22">
        <v>57</v>
      </c>
      <c r="B58" s="24">
        <v>46165</v>
      </c>
      <c r="C58" s="27" t="s">
        <v>41</v>
      </c>
      <c r="D58" s="21" t="s">
        <v>148</v>
      </c>
      <c r="E58" s="28" t="s">
        <v>162</v>
      </c>
      <c r="F58" s="26" t="s">
        <v>153</v>
      </c>
      <c r="G58" s="26" t="s">
        <v>154</v>
      </c>
      <c r="H58" s="13">
        <v>0</v>
      </c>
      <c r="I58" s="13">
        <v>0</v>
      </c>
      <c r="J58" s="6">
        <v>0</v>
      </c>
      <c r="K58" s="6">
        <v>0</v>
      </c>
      <c r="L58" s="6">
        <v>0</v>
      </c>
      <c r="M58" s="6">
        <v>0</v>
      </c>
      <c r="N58" s="6">
        <v>46</v>
      </c>
      <c r="O58" s="12" t="s">
        <v>163</v>
      </c>
      <c r="P58" s="5" t="s">
        <v>43</v>
      </c>
      <c r="Q58" s="5" t="s">
        <v>43</v>
      </c>
      <c r="R58" s="22">
        <v>3</v>
      </c>
      <c r="S58" s="5" t="s">
        <v>154</v>
      </c>
    </row>
    <row r="59" spans="1:19" ht="15" x14ac:dyDescent="0.25">
      <c r="A59" s="22">
        <v>58</v>
      </c>
      <c r="B59" s="29">
        <v>46164</v>
      </c>
      <c r="C59" s="30" t="s">
        <v>18</v>
      </c>
      <c r="D59" s="31" t="s">
        <v>164</v>
      </c>
      <c r="E59" s="2" t="s">
        <v>20</v>
      </c>
      <c r="F59" s="32" t="s">
        <v>165</v>
      </c>
      <c r="G59" s="31" t="s">
        <v>166</v>
      </c>
      <c r="H59" s="33">
        <v>257.45999999999998</v>
      </c>
      <c r="I59" s="33">
        <v>26.34</v>
      </c>
      <c r="J59" s="33">
        <v>0</v>
      </c>
      <c r="K59" s="33">
        <v>0</v>
      </c>
      <c r="L59" s="33">
        <v>0</v>
      </c>
      <c r="M59" s="33">
        <v>0</v>
      </c>
      <c r="N59" s="33">
        <f t="shared" ref="N59:N62" si="7">H59+I59+M59-L59-J59-K59</f>
        <v>283.79999999999995</v>
      </c>
      <c r="O59" s="5" t="s">
        <v>194</v>
      </c>
      <c r="P59" t="s">
        <v>167</v>
      </c>
      <c r="Q59" s="32" t="s">
        <v>25</v>
      </c>
      <c r="R59" s="22">
        <v>4</v>
      </c>
      <c r="S59" s="36" t="s">
        <v>166</v>
      </c>
    </row>
    <row r="60" spans="1:19" ht="15" x14ac:dyDescent="0.25">
      <c r="A60" s="22">
        <v>59</v>
      </c>
      <c r="B60" s="29">
        <v>46167</v>
      </c>
      <c r="C60" s="30" t="s">
        <v>18</v>
      </c>
      <c r="D60" s="31" t="s">
        <v>168</v>
      </c>
      <c r="E60" s="2" t="s">
        <v>20</v>
      </c>
      <c r="F60" s="32" t="s">
        <v>165</v>
      </c>
      <c r="G60" s="31" t="s">
        <v>166</v>
      </c>
      <c r="H60" s="33">
        <v>92.8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f t="shared" si="7"/>
        <v>92.8</v>
      </c>
      <c r="O60" s="5" t="s">
        <v>194</v>
      </c>
      <c r="P60" t="s">
        <v>167</v>
      </c>
      <c r="Q60" s="32" t="s">
        <v>25</v>
      </c>
      <c r="R60" s="22">
        <v>4</v>
      </c>
      <c r="S60" s="36" t="s">
        <v>166</v>
      </c>
    </row>
    <row r="61" spans="1:19" ht="15" x14ac:dyDescent="0.25">
      <c r="A61" s="22">
        <v>60</v>
      </c>
      <c r="B61" s="29">
        <v>46163</v>
      </c>
      <c r="C61" s="30" t="s">
        <v>18</v>
      </c>
      <c r="D61" s="31" t="s">
        <v>169</v>
      </c>
      <c r="E61" s="2" t="s">
        <v>170</v>
      </c>
      <c r="F61" s="32" t="s">
        <v>165</v>
      </c>
      <c r="G61" s="31" t="s">
        <v>166</v>
      </c>
      <c r="H61" s="33">
        <v>56.5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f t="shared" si="7"/>
        <v>56.5</v>
      </c>
      <c r="O61" s="5" t="s">
        <v>194</v>
      </c>
      <c r="P61" t="s">
        <v>171</v>
      </c>
      <c r="Q61" s="32" t="s">
        <v>172</v>
      </c>
      <c r="R61" s="22">
        <v>4</v>
      </c>
      <c r="S61" s="36" t="s">
        <v>166</v>
      </c>
    </row>
    <row r="62" spans="1:19" ht="15" x14ac:dyDescent="0.25">
      <c r="A62" s="22">
        <v>61</v>
      </c>
      <c r="B62" s="29">
        <v>46162</v>
      </c>
      <c r="C62" s="30" t="s">
        <v>18</v>
      </c>
      <c r="D62" s="31" t="s">
        <v>173</v>
      </c>
      <c r="E62" s="2" t="s">
        <v>20</v>
      </c>
      <c r="F62" s="32" t="s">
        <v>165</v>
      </c>
      <c r="G62" s="31" t="s">
        <v>166</v>
      </c>
      <c r="H62" s="33">
        <v>92.8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f t="shared" si="7"/>
        <v>92.8</v>
      </c>
      <c r="O62" s="5" t="s">
        <v>194</v>
      </c>
      <c r="P62" t="s">
        <v>167</v>
      </c>
      <c r="Q62" s="32" t="s">
        <v>25</v>
      </c>
      <c r="R62" s="22">
        <v>4</v>
      </c>
      <c r="S62" s="36" t="s">
        <v>166</v>
      </c>
    </row>
    <row r="63" spans="1:19" ht="15" x14ac:dyDescent="0.2">
      <c r="A63" s="22">
        <v>62</v>
      </c>
      <c r="B63" s="29">
        <v>46162</v>
      </c>
      <c r="C63" s="30" t="s">
        <v>41</v>
      </c>
      <c r="D63" s="31" t="s">
        <v>174</v>
      </c>
      <c r="E63" s="32" t="s">
        <v>175</v>
      </c>
      <c r="F63" s="32" t="s">
        <v>165</v>
      </c>
      <c r="G63" s="31" t="s">
        <v>166</v>
      </c>
      <c r="H63" s="13">
        <v>0</v>
      </c>
      <c r="I63" s="1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522.41</v>
      </c>
      <c r="O63" s="12" t="s">
        <v>163</v>
      </c>
      <c r="P63" s="5" t="s">
        <v>43</v>
      </c>
      <c r="Q63" s="5" t="s">
        <v>43</v>
      </c>
      <c r="R63" s="22">
        <v>4</v>
      </c>
      <c r="S63" s="36" t="s">
        <v>166</v>
      </c>
    </row>
    <row r="64" spans="1:19" ht="15" x14ac:dyDescent="0.2">
      <c r="A64" s="22">
        <v>63</v>
      </c>
      <c r="B64" s="29">
        <v>46163</v>
      </c>
      <c r="C64" s="30" t="s">
        <v>41</v>
      </c>
      <c r="D64" s="31" t="s">
        <v>176</v>
      </c>
      <c r="E64" s="32" t="s">
        <v>177</v>
      </c>
      <c r="F64" s="32" t="s">
        <v>165</v>
      </c>
      <c r="G64" s="31" t="s">
        <v>166</v>
      </c>
      <c r="H64" s="13">
        <v>0</v>
      </c>
      <c r="I64" s="1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167.74</v>
      </c>
      <c r="O64" s="12" t="s">
        <v>163</v>
      </c>
      <c r="P64" s="5" t="s">
        <v>43</v>
      </c>
      <c r="Q64" s="5" t="s">
        <v>43</v>
      </c>
      <c r="R64" s="22">
        <v>4</v>
      </c>
      <c r="S64" s="36" t="s">
        <v>166</v>
      </c>
    </row>
    <row r="65" spans="1:19" ht="15" x14ac:dyDescent="0.2">
      <c r="A65" s="22">
        <v>64</v>
      </c>
      <c r="B65" s="29">
        <v>46163</v>
      </c>
      <c r="C65" s="30" t="s">
        <v>41</v>
      </c>
      <c r="D65" s="31" t="s">
        <v>176</v>
      </c>
      <c r="E65" s="32" t="s">
        <v>177</v>
      </c>
      <c r="F65" s="32" t="s">
        <v>165</v>
      </c>
      <c r="G65" s="31" t="s">
        <v>166</v>
      </c>
      <c r="H65" s="13">
        <v>0</v>
      </c>
      <c r="I65" s="1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163.69</v>
      </c>
      <c r="O65" s="12" t="s">
        <v>163</v>
      </c>
      <c r="P65" s="5" t="s">
        <v>43</v>
      </c>
      <c r="Q65" s="5" t="s">
        <v>43</v>
      </c>
      <c r="R65" s="22">
        <v>4</v>
      </c>
      <c r="S65" s="36" t="s">
        <v>166</v>
      </c>
    </row>
    <row r="66" spans="1:19" ht="15" x14ac:dyDescent="0.2">
      <c r="A66" s="22">
        <v>65</v>
      </c>
      <c r="B66" s="29">
        <v>46164</v>
      </c>
      <c r="C66" s="30" t="s">
        <v>41</v>
      </c>
      <c r="D66" s="31" t="s">
        <v>176</v>
      </c>
      <c r="E66" s="32" t="s">
        <v>177</v>
      </c>
      <c r="F66" s="32" t="s">
        <v>165</v>
      </c>
      <c r="G66" s="31" t="s">
        <v>166</v>
      </c>
      <c r="H66" s="13">
        <v>0</v>
      </c>
      <c r="I66" s="1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144.96</v>
      </c>
      <c r="O66" s="12" t="s">
        <v>163</v>
      </c>
      <c r="P66" s="5" t="s">
        <v>43</v>
      </c>
      <c r="Q66" s="5" t="s">
        <v>43</v>
      </c>
      <c r="R66" s="22">
        <v>4</v>
      </c>
      <c r="S66" s="36" t="s">
        <v>166</v>
      </c>
    </row>
    <row r="67" spans="1:19" ht="15" x14ac:dyDescent="0.2">
      <c r="A67" s="22">
        <v>66</v>
      </c>
      <c r="B67" s="29">
        <v>46164</v>
      </c>
      <c r="C67" s="30" t="s">
        <v>41</v>
      </c>
      <c r="D67" s="31" t="s">
        <v>176</v>
      </c>
      <c r="E67" s="32" t="s">
        <v>177</v>
      </c>
      <c r="F67" s="32" t="s">
        <v>165</v>
      </c>
      <c r="G67" s="31" t="s">
        <v>166</v>
      </c>
      <c r="H67" s="13">
        <v>0</v>
      </c>
      <c r="I67" s="1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159.94999999999999</v>
      </c>
      <c r="O67" s="12" t="s">
        <v>163</v>
      </c>
      <c r="P67" s="5" t="s">
        <v>43</v>
      </c>
      <c r="Q67" s="5" t="s">
        <v>43</v>
      </c>
      <c r="R67" s="22">
        <v>4</v>
      </c>
      <c r="S67" s="36" t="s">
        <v>166</v>
      </c>
    </row>
    <row r="68" spans="1:19" ht="15" x14ac:dyDescent="0.2">
      <c r="A68" s="22">
        <v>67</v>
      </c>
      <c r="B68" s="29">
        <v>46165</v>
      </c>
      <c r="C68" s="30" t="s">
        <v>41</v>
      </c>
      <c r="D68" s="31" t="s">
        <v>176</v>
      </c>
      <c r="E68" s="32" t="s">
        <v>177</v>
      </c>
      <c r="F68" s="32" t="s">
        <v>165</v>
      </c>
      <c r="G68" s="31" t="s">
        <v>166</v>
      </c>
      <c r="H68" s="13">
        <v>0</v>
      </c>
      <c r="I68" s="1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139.94</v>
      </c>
      <c r="O68" s="12" t="s">
        <v>163</v>
      </c>
      <c r="P68" s="5" t="s">
        <v>43</v>
      </c>
      <c r="Q68" s="5" t="s">
        <v>43</v>
      </c>
      <c r="R68" s="22">
        <v>4</v>
      </c>
      <c r="S68" s="36" t="s">
        <v>166</v>
      </c>
    </row>
    <row r="69" spans="1:19" ht="15" x14ac:dyDescent="0.2">
      <c r="A69" s="22">
        <v>68</v>
      </c>
      <c r="B69" s="29">
        <v>46166</v>
      </c>
      <c r="C69" s="30" t="s">
        <v>41</v>
      </c>
      <c r="D69" s="31" t="s">
        <v>176</v>
      </c>
      <c r="E69" s="32" t="s">
        <v>177</v>
      </c>
      <c r="F69" s="32" t="s">
        <v>165</v>
      </c>
      <c r="G69" s="31" t="s">
        <v>166</v>
      </c>
      <c r="H69" s="13">
        <v>0</v>
      </c>
      <c r="I69" s="1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69.959999999999994</v>
      </c>
      <c r="O69" s="12" t="s">
        <v>163</v>
      </c>
      <c r="P69" s="5" t="s">
        <v>43</v>
      </c>
      <c r="Q69" s="5" t="s">
        <v>43</v>
      </c>
      <c r="R69" s="22">
        <v>4</v>
      </c>
      <c r="S69" s="36" t="s">
        <v>166</v>
      </c>
    </row>
    <row r="70" spans="1:19" ht="15" x14ac:dyDescent="0.2">
      <c r="A70" s="22">
        <v>69</v>
      </c>
      <c r="B70" s="29">
        <v>46165</v>
      </c>
      <c r="C70" s="30" t="s">
        <v>41</v>
      </c>
      <c r="D70" s="31" t="s">
        <v>176</v>
      </c>
      <c r="E70" s="32" t="s">
        <v>177</v>
      </c>
      <c r="F70" s="32" t="s">
        <v>165</v>
      </c>
      <c r="G70" s="31" t="s">
        <v>166</v>
      </c>
      <c r="H70" s="13">
        <v>0</v>
      </c>
      <c r="I70" s="1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49.98</v>
      </c>
      <c r="O70" s="12" t="s">
        <v>163</v>
      </c>
      <c r="P70" s="5" t="s">
        <v>43</v>
      </c>
      <c r="Q70" s="5" t="s">
        <v>43</v>
      </c>
      <c r="R70" s="22">
        <v>4</v>
      </c>
      <c r="S70" s="36" t="s">
        <v>166</v>
      </c>
    </row>
    <row r="71" spans="1:19" ht="15" x14ac:dyDescent="0.2">
      <c r="A71" s="22">
        <v>70</v>
      </c>
      <c r="B71" s="29">
        <v>46167</v>
      </c>
      <c r="C71" s="30" t="s">
        <v>41</v>
      </c>
      <c r="D71" s="31" t="s">
        <v>176</v>
      </c>
      <c r="E71" s="32" t="s">
        <v>177</v>
      </c>
      <c r="F71" s="32" t="s">
        <v>165</v>
      </c>
      <c r="G71" s="31" t="s">
        <v>166</v>
      </c>
      <c r="H71" s="13">
        <v>0</v>
      </c>
      <c r="I71" s="1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169.17</v>
      </c>
      <c r="O71" s="12" t="s">
        <v>163</v>
      </c>
      <c r="P71" s="5" t="s">
        <v>43</v>
      </c>
      <c r="Q71" s="5" t="s">
        <v>43</v>
      </c>
      <c r="R71" s="22">
        <v>4</v>
      </c>
      <c r="S71" s="36" t="s">
        <v>166</v>
      </c>
    </row>
    <row r="72" spans="1:19" ht="15" x14ac:dyDescent="0.2">
      <c r="A72" s="22">
        <v>71</v>
      </c>
      <c r="B72" s="29">
        <v>46167</v>
      </c>
      <c r="C72" s="30" t="s">
        <v>41</v>
      </c>
      <c r="D72" s="31" t="s">
        <v>176</v>
      </c>
      <c r="E72" s="32" t="s">
        <v>177</v>
      </c>
      <c r="F72" s="32" t="s">
        <v>165</v>
      </c>
      <c r="G72" s="31" t="s">
        <v>166</v>
      </c>
      <c r="H72" s="13">
        <v>0</v>
      </c>
      <c r="I72" s="1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157.07</v>
      </c>
      <c r="O72" s="12" t="s">
        <v>163</v>
      </c>
      <c r="P72" s="5" t="s">
        <v>43</v>
      </c>
      <c r="Q72" s="5" t="s">
        <v>43</v>
      </c>
      <c r="R72" s="22">
        <v>4</v>
      </c>
      <c r="S72" s="36" t="s">
        <v>166</v>
      </c>
    </row>
    <row r="73" spans="1:19" ht="15" x14ac:dyDescent="0.2">
      <c r="A73" s="22">
        <v>72</v>
      </c>
      <c r="B73" s="29">
        <v>46168</v>
      </c>
      <c r="C73" s="30" t="s">
        <v>41</v>
      </c>
      <c r="D73" s="31" t="s">
        <v>176</v>
      </c>
      <c r="E73" s="32" t="s">
        <v>177</v>
      </c>
      <c r="F73" s="32" t="s">
        <v>165</v>
      </c>
      <c r="G73" s="31" t="s">
        <v>166</v>
      </c>
      <c r="H73" s="13">
        <v>0</v>
      </c>
      <c r="I73" s="1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149.94999999999999</v>
      </c>
      <c r="O73" s="12" t="s">
        <v>163</v>
      </c>
      <c r="P73" s="5" t="s">
        <v>43</v>
      </c>
      <c r="Q73" s="5" t="s">
        <v>43</v>
      </c>
      <c r="R73" s="22">
        <v>4</v>
      </c>
      <c r="S73" s="36" t="s">
        <v>166</v>
      </c>
    </row>
    <row r="74" spans="1:19" ht="15" x14ac:dyDescent="0.2">
      <c r="A74" s="22">
        <v>73</v>
      </c>
      <c r="B74" s="29">
        <v>46168</v>
      </c>
      <c r="C74" s="30" t="s">
        <v>41</v>
      </c>
      <c r="D74" s="31" t="s">
        <v>176</v>
      </c>
      <c r="E74" s="32" t="s">
        <v>177</v>
      </c>
      <c r="F74" s="32" t="s">
        <v>165</v>
      </c>
      <c r="G74" s="31" t="s">
        <v>166</v>
      </c>
      <c r="H74" s="13">
        <v>0</v>
      </c>
      <c r="I74" s="1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164.39</v>
      </c>
      <c r="O74" s="12" t="s">
        <v>163</v>
      </c>
      <c r="P74" s="5" t="s">
        <v>43</v>
      </c>
      <c r="Q74" s="5" t="s">
        <v>43</v>
      </c>
      <c r="R74" s="22">
        <v>4</v>
      </c>
      <c r="S74" s="36" t="s">
        <v>166</v>
      </c>
    </row>
    <row r="75" spans="1:19" ht="15" x14ac:dyDescent="0.2">
      <c r="A75" s="22">
        <v>74</v>
      </c>
      <c r="B75" s="29">
        <v>46162</v>
      </c>
      <c r="C75" s="30" t="s">
        <v>41</v>
      </c>
      <c r="D75" s="31" t="s">
        <v>176</v>
      </c>
      <c r="E75" s="32" t="s">
        <v>177</v>
      </c>
      <c r="F75" s="32" t="s">
        <v>165</v>
      </c>
      <c r="G75" s="31" t="s">
        <v>166</v>
      </c>
      <c r="H75" s="13">
        <v>0</v>
      </c>
      <c r="I75" s="1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159.96</v>
      </c>
      <c r="O75" s="12" t="s">
        <v>163</v>
      </c>
      <c r="P75" s="5" t="s">
        <v>43</v>
      </c>
      <c r="Q75" s="5" t="s">
        <v>43</v>
      </c>
      <c r="R75" s="22">
        <v>4</v>
      </c>
      <c r="S75" s="36" t="s">
        <v>166</v>
      </c>
    </row>
    <row r="76" spans="1:19" ht="15" x14ac:dyDescent="0.25">
      <c r="A76" s="22">
        <v>75</v>
      </c>
      <c r="B76" s="34">
        <v>46169</v>
      </c>
      <c r="C76" s="2" t="s">
        <v>18</v>
      </c>
      <c r="D76" s="2" t="s">
        <v>178</v>
      </c>
      <c r="E76" t="s">
        <v>152</v>
      </c>
      <c r="F76" s="2" t="s">
        <v>130</v>
      </c>
      <c r="G76" s="2" t="s">
        <v>179</v>
      </c>
      <c r="H76" s="41">
        <v>749.81</v>
      </c>
      <c r="I76" s="41">
        <v>59.99</v>
      </c>
      <c r="J76" s="33">
        <v>0</v>
      </c>
      <c r="K76" s="33">
        <v>0</v>
      </c>
      <c r="L76" s="33">
        <v>0</v>
      </c>
      <c r="M76" s="45">
        <f>+IF(P76="HOSPEDAJE",ROUND(H76*0.04,2),0)</f>
        <v>0</v>
      </c>
      <c r="N76" s="45">
        <f>H76+I76+M76-L76-K76-J76</f>
        <v>809.8</v>
      </c>
      <c r="O76" s="5" t="s">
        <v>195</v>
      </c>
      <c r="P76" t="s">
        <v>180</v>
      </c>
      <c r="Q76" s="2" t="s">
        <v>156</v>
      </c>
      <c r="R76" s="22">
        <v>5</v>
      </c>
      <c r="S76" s="5" t="s">
        <v>179</v>
      </c>
    </row>
    <row r="77" spans="1:19" ht="15" x14ac:dyDescent="0.25">
      <c r="A77" s="22">
        <v>76</v>
      </c>
      <c r="B77" s="34">
        <v>46169</v>
      </c>
      <c r="C77" s="2" t="s">
        <v>18</v>
      </c>
      <c r="D77" s="2" t="s">
        <v>181</v>
      </c>
      <c r="E77" s="35" t="s">
        <v>20</v>
      </c>
      <c r="F77" s="2" t="s">
        <v>130</v>
      </c>
      <c r="G77" s="2" t="s">
        <v>179</v>
      </c>
      <c r="H77" s="41">
        <v>49.93</v>
      </c>
      <c r="I77" s="41">
        <v>1.47</v>
      </c>
      <c r="J77" s="33">
        <v>0</v>
      </c>
      <c r="K77" s="33">
        <v>0</v>
      </c>
      <c r="L77" s="33">
        <v>0</v>
      </c>
      <c r="M77" s="45">
        <f>+IF(P77="HOSPEDAJE",ROUND(H77*0.04,2),0)</f>
        <v>0</v>
      </c>
      <c r="N77" s="45">
        <f t="shared" ref="N77:N82" si="8">H77+I77+M77-L77-K77-J77</f>
        <v>51.4</v>
      </c>
      <c r="O77" t="s">
        <v>27</v>
      </c>
      <c r="P77" t="s">
        <v>182</v>
      </c>
      <c r="Q77" s="2" t="s">
        <v>25</v>
      </c>
      <c r="R77" s="22">
        <v>5</v>
      </c>
      <c r="S77" s="5" t="s">
        <v>179</v>
      </c>
    </row>
    <row r="78" spans="1:19" ht="15" x14ac:dyDescent="0.25">
      <c r="A78" s="22">
        <v>77</v>
      </c>
      <c r="B78" s="34">
        <v>46169</v>
      </c>
      <c r="C78" s="2" t="s">
        <v>18</v>
      </c>
      <c r="D78" s="2" t="s">
        <v>183</v>
      </c>
      <c r="E78" t="s">
        <v>152</v>
      </c>
      <c r="F78" s="2" t="s">
        <v>130</v>
      </c>
      <c r="G78" s="2" t="s">
        <v>179</v>
      </c>
      <c r="H78" s="41">
        <v>375</v>
      </c>
      <c r="I78" s="41">
        <v>30</v>
      </c>
      <c r="J78" s="33">
        <v>0</v>
      </c>
      <c r="K78" s="33">
        <v>0</v>
      </c>
      <c r="L78" s="33">
        <v>0</v>
      </c>
      <c r="M78" s="45">
        <f>+IF(P78="HOSPEDAJE",ROUND(H78*0.04,2),0)</f>
        <v>0</v>
      </c>
      <c r="N78" s="45">
        <f t="shared" si="8"/>
        <v>405</v>
      </c>
      <c r="O78" s="5" t="s">
        <v>195</v>
      </c>
      <c r="P78" t="s">
        <v>184</v>
      </c>
      <c r="Q78" s="2" t="s">
        <v>156</v>
      </c>
      <c r="R78" s="22">
        <v>5</v>
      </c>
      <c r="S78" s="5" t="s">
        <v>179</v>
      </c>
    </row>
    <row r="79" spans="1:19" ht="15" x14ac:dyDescent="0.25">
      <c r="A79" s="22">
        <v>78</v>
      </c>
      <c r="B79" s="34">
        <v>46167</v>
      </c>
      <c r="C79" s="2" t="s">
        <v>18</v>
      </c>
      <c r="D79" s="2" t="s">
        <v>185</v>
      </c>
      <c r="E79" s="35" t="s">
        <v>186</v>
      </c>
      <c r="F79" s="2" t="s">
        <v>130</v>
      </c>
      <c r="G79" s="2" t="s">
        <v>179</v>
      </c>
      <c r="H79" s="41">
        <v>469.44</v>
      </c>
      <c r="I79" s="41">
        <v>37.56</v>
      </c>
      <c r="J79" s="33">
        <v>0</v>
      </c>
      <c r="K79" s="33">
        <v>0</v>
      </c>
      <c r="L79" s="33">
        <v>0</v>
      </c>
      <c r="M79" s="45">
        <f>+IF(P79="HOSPEDAJE",ROUND(H79*0.04,2),0)</f>
        <v>0</v>
      </c>
      <c r="N79" s="45">
        <f t="shared" si="8"/>
        <v>507</v>
      </c>
      <c r="O79" s="5" t="s">
        <v>195</v>
      </c>
      <c r="P79" t="s">
        <v>187</v>
      </c>
      <c r="Q79" s="2" t="s">
        <v>188</v>
      </c>
      <c r="R79" s="22">
        <v>5</v>
      </c>
      <c r="S79" s="5" t="s">
        <v>179</v>
      </c>
    </row>
    <row r="80" spans="1:19" ht="15" x14ac:dyDescent="0.25">
      <c r="A80" s="22">
        <v>79</v>
      </c>
      <c r="B80" s="34">
        <v>46169</v>
      </c>
      <c r="C80" s="2" t="s">
        <v>18</v>
      </c>
      <c r="D80" s="2" t="s">
        <v>189</v>
      </c>
      <c r="E80" s="35" t="s">
        <v>20</v>
      </c>
      <c r="F80" s="2" t="s">
        <v>130</v>
      </c>
      <c r="G80" s="2" t="s">
        <v>179</v>
      </c>
      <c r="H80" s="41">
        <v>125.8</v>
      </c>
      <c r="I80" s="41">
        <v>0</v>
      </c>
      <c r="J80" s="33">
        <v>0</v>
      </c>
      <c r="K80" s="33">
        <v>0</v>
      </c>
      <c r="L80" s="33">
        <v>0</v>
      </c>
      <c r="M80" s="45">
        <f>+IF(P80="HOSPEDAJE",ROUND(H80*0.04,2),0)</f>
        <v>0</v>
      </c>
      <c r="N80" s="45">
        <f t="shared" si="8"/>
        <v>125.8</v>
      </c>
      <c r="O80" s="5" t="s">
        <v>194</v>
      </c>
      <c r="P80" t="s">
        <v>190</v>
      </c>
      <c r="Q80" s="2" t="s">
        <v>25</v>
      </c>
      <c r="R80" s="22">
        <v>5</v>
      </c>
      <c r="S80" s="5" t="s">
        <v>179</v>
      </c>
    </row>
    <row r="81" spans="1:19" ht="15" x14ac:dyDescent="0.25">
      <c r="A81" s="22">
        <v>80</v>
      </c>
      <c r="B81" s="34">
        <v>46169</v>
      </c>
      <c r="C81" s="2" t="s">
        <v>18</v>
      </c>
      <c r="D81" s="2" t="s">
        <v>191</v>
      </c>
      <c r="E81" s="35" t="s">
        <v>170</v>
      </c>
      <c r="F81" s="2" t="s">
        <v>130</v>
      </c>
      <c r="G81" s="2" t="s">
        <v>179</v>
      </c>
      <c r="H81" s="41">
        <v>22</v>
      </c>
      <c r="I81" s="41">
        <v>0</v>
      </c>
      <c r="J81" s="33">
        <v>0</v>
      </c>
      <c r="K81" s="33">
        <v>0</v>
      </c>
      <c r="L81" s="33">
        <v>0</v>
      </c>
      <c r="M81" s="45">
        <f t="shared" ref="M81:M82" si="9">+IF(P81="HOSPEDAJE",ROUND(H81*0.04,2),0)</f>
        <v>0</v>
      </c>
      <c r="N81" s="45">
        <f t="shared" si="8"/>
        <v>22</v>
      </c>
      <c r="O81" t="s">
        <v>27</v>
      </c>
      <c r="P81" t="s">
        <v>192</v>
      </c>
      <c r="Q81" s="2" t="s">
        <v>172</v>
      </c>
      <c r="R81" s="22">
        <v>5</v>
      </c>
      <c r="S81" s="5" t="s">
        <v>179</v>
      </c>
    </row>
    <row r="82" spans="1:19" ht="15" x14ac:dyDescent="0.25">
      <c r="A82" s="22">
        <v>81</v>
      </c>
      <c r="B82" s="34">
        <v>46169</v>
      </c>
      <c r="C82" s="2" t="s">
        <v>18</v>
      </c>
      <c r="D82" s="2" t="s">
        <v>193</v>
      </c>
      <c r="E82" s="35" t="s">
        <v>170</v>
      </c>
      <c r="F82" s="2" t="s">
        <v>130</v>
      </c>
      <c r="G82" s="2" t="s">
        <v>179</v>
      </c>
      <c r="H82" s="41">
        <v>22</v>
      </c>
      <c r="I82" s="41">
        <v>0</v>
      </c>
      <c r="J82" s="33">
        <v>0</v>
      </c>
      <c r="K82" s="33">
        <v>0</v>
      </c>
      <c r="L82" s="33">
        <v>0</v>
      </c>
      <c r="M82" s="45">
        <f t="shared" si="9"/>
        <v>0</v>
      </c>
      <c r="N82" s="45">
        <f t="shared" si="8"/>
        <v>22</v>
      </c>
      <c r="O82" t="s">
        <v>27</v>
      </c>
      <c r="P82" t="s">
        <v>192</v>
      </c>
      <c r="Q82" s="2" t="s">
        <v>172</v>
      </c>
      <c r="R82" s="22">
        <v>5</v>
      </c>
      <c r="S82" s="5" t="s">
        <v>179</v>
      </c>
    </row>
    <row r="83" spans="1:19" ht="15" x14ac:dyDescent="0.25">
      <c r="A83" s="22">
        <v>82</v>
      </c>
      <c r="B83" s="34">
        <v>46168</v>
      </c>
      <c r="C83" s="37" t="s">
        <v>41</v>
      </c>
      <c r="D83" s="2" t="s">
        <v>196</v>
      </c>
      <c r="E83" s="5" t="s">
        <v>43</v>
      </c>
      <c r="F83" s="2" t="s">
        <v>130</v>
      </c>
      <c r="G83" s="2" t="s">
        <v>179</v>
      </c>
      <c r="H83" s="13">
        <v>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3">
        <v>800</v>
      </c>
      <c r="O83" s="12" t="s">
        <v>163</v>
      </c>
      <c r="P83" s="5" t="s">
        <v>43</v>
      </c>
      <c r="Q83" s="5" t="s">
        <v>43</v>
      </c>
      <c r="R83" s="22">
        <v>5</v>
      </c>
      <c r="S83" s="5" t="s">
        <v>179</v>
      </c>
    </row>
    <row r="84" spans="1:19" ht="15" x14ac:dyDescent="0.25">
      <c r="A84" s="22">
        <v>83</v>
      </c>
      <c r="B84" s="34">
        <v>46169</v>
      </c>
      <c r="C84" s="2" t="s">
        <v>18</v>
      </c>
      <c r="D84" s="2" t="s">
        <v>128</v>
      </c>
      <c r="E84" t="s">
        <v>129</v>
      </c>
      <c r="F84" s="2" t="s">
        <v>130</v>
      </c>
      <c r="G84" s="2" t="s">
        <v>197</v>
      </c>
      <c r="H84" s="41">
        <v>179.31</v>
      </c>
      <c r="I84" s="41">
        <f>ROUND((H84-L84)*0.16,2)</f>
        <v>28.69</v>
      </c>
      <c r="J84" s="13">
        <v>0</v>
      </c>
      <c r="K84" s="13">
        <v>0</v>
      </c>
      <c r="L84" s="13">
        <v>0</v>
      </c>
      <c r="M84" s="45">
        <f>+IF(P84="HOSPEDAJE",ROUND(H84*0.04,2),0)</f>
        <v>0</v>
      </c>
      <c r="N84" s="46">
        <f>H84+I84+M84-L84-K84-J84</f>
        <v>208</v>
      </c>
      <c r="O84" t="s">
        <v>27</v>
      </c>
      <c r="P84" t="s">
        <v>131</v>
      </c>
      <c r="Q84" s="2" t="s">
        <v>132</v>
      </c>
      <c r="R84" s="22">
        <v>2</v>
      </c>
      <c r="S84" s="5" t="s">
        <v>147</v>
      </c>
    </row>
    <row r="85" spans="1:19" ht="15" x14ac:dyDescent="0.25">
      <c r="A85" s="22">
        <v>84</v>
      </c>
      <c r="B85" s="34">
        <v>46169</v>
      </c>
      <c r="C85" s="2" t="s">
        <v>18</v>
      </c>
      <c r="D85" s="2" t="s">
        <v>133</v>
      </c>
      <c r="E85" t="s">
        <v>61</v>
      </c>
      <c r="F85" s="2" t="s">
        <v>130</v>
      </c>
      <c r="G85" s="2" t="s">
        <v>197</v>
      </c>
      <c r="H85" s="41">
        <v>49.14</v>
      </c>
      <c r="I85" s="41">
        <f>ROUND((H85-L85)*0.16,2)</f>
        <v>7.86</v>
      </c>
      <c r="J85" s="13">
        <v>0</v>
      </c>
      <c r="K85" s="13">
        <v>0</v>
      </c>
      <c r="L85" s="13">
        <v>0</v>
      </c>
      <c r="M85" s="45">
        <f>+IF(P85="HOSPEDAJE",ROUND(H85*0.04,2),0)</f>
        <v>0</v>
      </c>
      <c r="N85" s="46">
        <f t="shared" ref="N85:N88" si="10">H85+I85+M85-L85-K85-J85</f>
        <v>57</v>
      </c>
      <c r="O85" t="s">
        <v>27</v>
      </c>
      <c r="P85" t="s">
        <v>134</v>
      </c>
      <c r="Q85" s="2" t="s">
        <v>62</v>
      </c>
      <c r="R85" s="22">
        <v>2</v>
      </c>
      <c r="S85" s="5" t="s">
        <v>147</v>
      </c>
    </row>
    <row r="86" spans="1:19" ht="15" x14ac:dyDescent="0.25">
      <c r="A86" s="22">
        <v>85</v>
      </c>
      <c r="B86" s="34">
        <v>46166</v>
      </c>
      <c r="C86" s="2" t="s">
        <v>18</v>
      </c>
      <c r="D86" s="2" t="s">
        <v>135</v>
      </c>
      <c r="E86" t="s">
        <v>136</v>
      </c>
      <c r="F86" s="2" t="s">
        <v>130</v>
      </c>
      <c r="G86" s="2" t="s">
        <v>197</v>
      </c>
      <c r="H86" s="41">
        <v>117.59</v>
      </c>
      <c r="I86" s="41">
        <v>9.41</v>
      </c>
      <c r="J86" s="13">
        <v>0</v>
      </c>
      <c r="K86" s="13">
        <v>0</v>
      </c>
      <c r="L86" s="13">
        <v>0</v>
      </c>
      <c r="M86" s="45">
        <f>+IF(P86="HOSPEDAJE",ROUND(H86*0.04,2),0)</f>
        <v>0</v>
      </c>
      <c r="N86" s="46">
        <f t="shared" si="10"/>
        <v>127</v>
      </c>
      <c r="O86" t="s">
        <v>23</v>
      </c>
      <c r="P86" t="s">
        <v>137</v>
      </c>
      <c r="Q86" s="2" t="s">
        <v>138</v>
      </c>
      <c r="R86" s="22">
        <v>2</v>
      </c>
      <c r="S86" s="5" t="s">
        <v>147</v>
      </c>
    </row>
    <row r="87" spans="1:19" ht="15" x14ac:dyDescent="0.25">
      <c r="A87" s="22">
        <v>86</v>
      </c>
      <c r="B87" s="34">
        <v>46169</v>
      </c>
      <c r="C87" s="2" t="s">
        <v>18</v>
      </c>
      <c r="D87" s="2" t="s">
        <v>139</v>
      </c>
      <c r="E87" t="s">
        <v>140</v>
      </c>
      <c r="F87" s="2" t="s">
        <v>130</v>
      </c>
      <c r="G87" s="2" t="s">
        <v>197</v>
      </c>
      <c r="H87" s="41">
        <v>20.69</v>
      </c>
      <c r="I87" s="41">
        <f>ROUND((H87-L87)*0.16,2)</f>
        <v>3.31</v>
      </c>
      <c r="J87" s="13">
        <v>0</v>
      </c>
      <c r="K87" s="13">
        <v>0</v>
      </c>
      <c r="L87" s="13">
        <v>0</v>
      </c>
      <c r="M87" s="45">
        <f>+IF(P87="HOSPEDAJE",ROUND(H87*0.04,2),0)</f>
        <v>0</v>
      </c>
      <c r="N87" s="46">
        <f t="shared" si="10"/>
        <v>24</v>
      </c>
      <c r="O87" t="s">
        <v>27</v>
      </c>
      <c r="P87" t="s">
        <v>141</v>
      </c>
      <c r="Q87" s="2" t="s">
        <v>142</v>
      </c>
      <c r="R87" s="22">
        <v>2</v>
      </c>
      <c r="S87" s="5" t="s">
        <v>147</v>
      </c>
    </row>
    <row r="88" spans="1:19" ht="15" x14ac:dyDescent="0.25">
      <c r="A88" s="22">
        <v>87</v>
      </c>
      <c r="B88" s="34">
        <v>46167</v>
      </c>
      <c r="C88" s="2" t="s">
        <v>18</v>
      </c>
      <c r="D88" s="2" t="s">
        <v>143</v>
      </c>
      <c r="E88" t="s">
        <v>144</v>
      </c>
      <c r="F88" s="2" t="s">
        <v>130</v>
      </c>
      <c r="G88" s="2" t="s">
        <v>197</v>
      </c>
      <c r="H88" s="41">
        <v>1000</v>
      </c>
      <c r="I88" s="41">
        <v>80</v>
      </c>
      <c r="J88" s="13">
        <v>0</v>
      </c>
      <c r="K88" s="13">
        <v>0</v>
      </c>
      <c r="L88" s="13">
        <v>0</v>
      </c>
      <c r="M88" s="45">
        <f>+IF(P88="HOSPEDAJE",ROUND(H88*0.04,2),0)</f>
        <v>0</v>
      </c>
      <c r="N88" s="46">
        <f t="shared" si="10"/>
        <v>1080</v>
      </c>
      <c r="O88" t="s">
        <v>23</v>
      </c>
      <c r="P88" t="s">
        <v>145</v>
      </c>
      <c r="Q88" s="2" t="s">
        <v>146</v>
      </c>
      <c r="R88" s="22">
        <v>2</v>
      </c>
      <c r="S88" s="5" t="s">
        <v>147</v>
      </c>
    </row>
    <row r="89" spans="1:19" ht="15" x14ac:dyDescent="0.25">
      <c r="A89" s="22">
        <v>88</v>
      </c>
      <c r="B89" s="34">
        <v>46165</v>
      </c>
      <c r="C89" s="37" t="s">
        <v>41</v>
      </c>
      <c r="D89" s="2" t="s">
        <v>148</v>
      </c>
      <c r="E89" s="2" t="s">
        <v>149</v>
      </c>
      <c r="F89" s="2" t="s">
        <v>130</v>
      </c>
      <c r="G89" s="2" t="s">
        <v>197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41">
        <v>1082</v>
      </c>
      <c r="O89" s="12" t="s">
        <v>163</v>
      </c>
      <c r="P89" s="5" t="s">
        <v>43</v>
      </c>
      <c r="Q89" s="5" t="s">
        <v>43</v>
      </c>
      <c r="R89" s="22">
        <v>2</v>
      </c>
      <c r="S89" s="5" t="s">
        <v>147</v>
      </c>
    </row>
    <row r="90" spans="1:19" ht="15" x14ac:dyDescent="0.25">
      <c r="A90" s="22">
        <v>89</v>
      </c>
      <c r="B90" s="34">
        <v>46165</v>
      </c>
      <c r="C90" s="37" t="s">
        <v>41</v>
      </c>
      <c r="D90" s="2" t="s">
        <v>148</v>
      </c>
      <c r="E90" s="2" t="s">
        <v>150</v>
      </c>
      <c r="F90" s="2" t="s">
        <v>130</v>
      </c>
      <c r="G90" s="2" t="s">
        <v>197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41">
        <v>1288.57</v>
      </c>
      <c r="O90" s="12" t="s">
        <v>163</v>
      </c>
      <c r="P90" s="5" t="s">
        <v>43</v>
      </c>
      <c r="Q90" s="5" t="s">
        <v>43</v>
      </c>
      <c r="R90" s="22">
        <v>2</v>
      </c>
      <c r="S90" s="5" t="s">
        <v>147</v>
      </c>
    </row>
    <row r="91" spans="1:19" ht="15" x14ac:dyDescent="0.25">
      <c r="A91" s="22">
        <v>90</v>
      </c>
      <c r="B91" s="34">
        <v>46165</v>
      </c>
      <c r="C91" s="37" t="s">
        <v>41</v>
      </c>
      <c r="D91" s="2" t="s">
        <v>148</v>
      </c>
      <c r="E91" s="37" t="s">
        <v>149</v>
      </c>
      <c r="F91" s="2" t="s">
        <v>130</v>
      </c>
      <c r="G91" s="2" t="s">
        <v>197</v>
      </c>
      <c r="H91" s="13">
        <v>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41">
        <v>1360.33</v>
      </c>
      <c r="O91" s="12" t="s">
        <v>163</v>
      </c>
      <c r="P91" s="5" t="s">
        <v>43</v>
      </c>
      <c r="Q91" s="5" t="s">
        <v>43</v>
      </c>
      <c r="R91" s="22">
        <v>2</v>
      </c>
      <c r="S91" s="5" t="s">
        <v>147</v>
      </c>
    </row>
    <row r="92" spans="1:19" ht="15" x14ac:dyDescent="0.25">
      <c r="A92" s="22">
        <v>91</v>
      </c>
      <c r="B92" s="34">
        <v>46165</v>
      </c>
      <c r="C92" s="37" t="s">
        <v>41</v>
      </c>
      <c r="D92" s="2" t="s">
        <v>148</v>
      </c>
      <c r="E92" s="37" t="s">
        <v>149</v>
      </c>
      <c r="F92" s="2" t="s">
        <v>130</v>
      </c>
      <c r="G92" s="2" t="s">
        <v>197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41">
        <v>1460.82</v>
      </c>
      <c r="O92" s="12" t="s">
        <v>163</v>
      </c>
      <c r="P92" s="5" t="s">
        <v>43</v>
      </c>
      <c r="Q92" s="5" t="s">
        <v>43</v>
      </c>
      <c r="R92" s="22">
        <v>2</v>
      </c>
      <c r="S92" s="5" t="s">
        <v>147</v>
      </c>
    </row>
    <row r="93" spans="1:19" ht="15" x14ac:dyDescent="0.25">
      <c r="A93" s="22">
        <v>92</v>
      </c>
      <c r="B93" s="34">
        <v>46165</v>
      </c>
      <c r="C93" s="37" t="s">
        <v>41</v>
      </c>
      <c r="D93" s="2" t="s">
        <v>148</v>
      </c>
      <c r="E93" s="37" t="s">
        <v>149</v>
      </c>
      <c r="F93" s="2" t="s">
        <v>130</v>
      </c>
      <c r="G93" s="2" t="s">
        <v>197</v>
      </c>
      <c r="H93" s="13">
        <v>0</v>
      </c>
      <c r="I93" s="13">
        <v>0</v>
      </c>
      <c r="J93" s="13">
        <v>0</v>
      </c>
      <c r="K93" s="13">
        <v>0</v>
      </c>
      <c r="L93" s="13">
        <v>0</v>
      </c>
      <c r="M93" s="13">
        <v>0</v>
      </c>
      <c r="N93" s="41">
        <v>1765.62</v>
      </c>
      <c r="O93" s="12" t="s">
        <v>163</v>
      </c>
      <c r="P93" s="5" t="s">
        <v>43</v>
      </c>
      <c r="Q93" s="5" t="s">
        <v>43</v>
      </c>
      <c r="R93" s="22">
        <v>2</v>
      </c>
      <c r="S93" s="5" t="s">
        <v>147</v>
      </c>
    </row>
  </sheetData>
  <autoFilter ref="A1:S82" xr:uid="{3186A66C-577A-4A14-AA46-F27D4AED829B}"/>
  <conditionalFormatting sqref="D12:D16">
    <cfRule type="duplicateValues" dxfId="63" priority="52"/>
  </conditionalFormatting>
  <conditionalFormatting sqref="D17">
    <cfRule type="duplicateValues" dxfId="62" priority="51"/>
  </conditionalFormatting>
  <conditionalFormatting sqref="D12:D39">
    <cfRule type="duplicateValues" dxfId="61" priority="53"/>
  </conditionalFormatting>
  <conditionalFormatting sqref="D12:D39">
    <cfRule type="duplicateValues" dxfId="60" priority="54"/>
  </conditionalFormatting>
  <conditionalFormatting sqref="D12:D39">
    <cfRule type="duplicateValues" dxfId="59" priority="55"/>
  </conditionalFormatting>
  <conditionalFormatting sqref="D12:D39">
    <cfRule type="duplicateValues" dxfId="58" priority="56"/>
    <cfRule type="duplicateValues" dxfId="57" priority="57"/>
  </conditionalFormatting>
  <conditionalFormatting sqref="D12:D39">
    <cfRule type="duplicateValues" dxfId="56" priority="58"/>
  </conditionalFormatting>
  <conditionalFormatting sqref="D12:D39">
    <cfRule type="duplicateValues" dxfId="55" priority="59"/>
    <cfRule type="duplicateValues" dxfId="54" priority="60"/>
  </conditionalFormatting>
  <conditionalFormatting sqref="D12:D39">
    <cfRule type="duplicateValues" dxfId="53" priority="61"/>
  </conditionalFormatting>
  <conditionalFormatting sqref="D12:D39">
    <cfRule type="duplicateValues" dxfId="52" priority="62"/>
  </conditionalFormatting>
  <conditionalFormatting sqref="D12:D39">
    <cfRule type="duplicateValues" dxfId="51" priority="63"/>
  </conditionalFormatting>
  <conditionalFormatting sqref="D12:D39">
    <cfRule type="duplicateValues" dxfId="50" priority="64"/>
  </conditionalFormatting>
  <conditionalFormatting sqref="D12:D39">
    <cfRule type="duplicateValues" dxfId="49" priority="50"/>
  </conditionalFormatting>
  <conditionalFormatting sqref="D12:D39">
    <cfRule type="duplicateValues" dxfId="48" priority="49"/>
  </conditionalFormatting>
  <conditionalFormatting sqref="D42:D46">
    <cfRule type="duplicateValues" dxfId="47" priority="46"/>
    <cfRule type="duplicateValues" dxfId="46" priority="47"/>
    <cfRule type="duplicateValues" dxfId="45" priority="48"/>
  </conditionalFormatting>
  <conditionalFormatting sqref="D47">
    <cfRule type="duplicateValues" dxfId="44" priority="44"/>
    <cfRule type="duplicateValues" dxfId="43" priority="45"/>
  </conditionalFormatting>
  <conditionalFormatting sqref="D48">
    <cfRule type="duplicateValues" dxfId="42" priority="42"/>
    <cfRule type="duplicateValues" dxfId="41" priority="43"/>
  </conditionalFormatting>
  <conditionalFormatting sqref="D49">
    <cfRule type="duplicateValues" dxfId="40" priority="40"/>
    <cfRule type="duplicateValues" dxfId="39" priority="41"/>
  </conditionalFormatting>
  <conditionalFormatting sqref="D50">
    <cfRule type="duplicateValues" dxfId="38" priority="38"/>
    <cfRule type="duplicateValues" dxfId="37" priority="39"/>
  </conditionalFormatting>
  <conditionalFormatting sqref="D51">
    <cfRule type="duplicateValues" dxfId="36" priority="36"/>
    <cfRule type="duplicateValues" dxfId="35" priority="37"/>
  </conditionalFormatting>
  <conditionalFormatting sqref="D52:D54">
    <cfRule type="duplicateValues" dxfId="34" priority="35"/>
  </conditionalFormatting>
  <conditionalFormatting sqref="D52:D54">
    <cfRule type="duplicateValues" dxfId="33" priority="34"/>
  </conditionalFormatting>
  <conditionalFormatting sqref="D52:D54">
    <cfRule type="duplicateValues" dxfId="32" priority="32"/>
    <cfRule type="duplicateValues" dxfId="31" priority="33"/>
  </conditionalFormatting>
  <conditionalFormatting sqref="D52:D54">
    <cfRule type="duplicateValues" dxfId="30" priority="29"/>
    <cfRule type="duplicateValues" dxfId="29" priority="30"/>
    <cfRule type="duplicateValues" dxfId="28" priority="31"/>
  </conditionalFormatting>
  <conditionalFormatting sqref="D52:D54">
    <cfRule type="duplicateValues" dxfId="27" priority="28"/>
  </conditionalFormatting>
  <conditionalFormatting sqref="D52:D54">
    <cfRule type="duplicateValues" dxfId="26" priority="26"/>
  </conditionalFormatting>
  <conditionalFormatting sqref="D52:D54">
    <cfRule type="duplicateValues" dxfId="25" priority="27"/>
  </conditionalFormatting>
  <conditionalFormatting sqref="D59:D62">
    <cfRule type="duplicateValues" dxfId="24" priority="25"/>
  </conditionalFormatting>
  <conditionalFormatting sqref="D72">
    <cfRule type="duplicateValues" dxfId="23" priority="23"/>
  </conditionalFormatting>
  <conditionalFormatting sqref="D63:D64">
    <cfRule type="duplicateValues" dxfId="22" priority="24"/>
  </conditionalFormatting>
  <conditionalFormatting sqref="N63:N70">
    <cfRule type="duplicateValues" dxfId="21" priority="20"/>
    <cfRule type="duplicateValues" dxfId="20" priority="21"/>
  </conditionalFormatting>
  <conditionalFormatting sqref="N63:N70">
    <cfRule type="duplicateValues" dxfId="19" priority="22"/>
  </conditionalFormatting>
  <conditionalFormatting sqref="D76:D82">
    <cfRule type="duplicateValues" dxfId="18" priority="16"/>
    <cfRule type="duplicateValues" dxfId="17" priority="17"/>
    <cfRule type="duplicateValues" dxfId="16" priority="18"/>
    <cfRule type="duplicateValues" dxfId="15" priority="19"/>
  </conditionalFormatting>
  <conditionalFormatting sqref="D83">
    <cfRule type="duplicateValues" dxfId="14" priority="14"/>
    <cfRule type="duplicateValues" dxfId="13" priority="15"/>
  </conditionalFormatting>
  <conditionalFormatting sqref="D84:D88">
    <cfRule type="duplicateValues" dxfId="12" priority="11"/>
    <cfRule type="duplicateValues" dxfId="11" priority="12"/>
    <cfRule type="duplicateValues" dxfId="10" priority="13"/>
  </conditionalFormatting>
  <conditionalFormatting sqref="D89">
    <cfRule type="duplicateValues" dxfId="9" priority="9"/>
    <cfRule type="duplicateValues" dxfId="8" priority="10"/>
  </conditionalFormatting>
  <conditionalFormatting sqref="D90">
    <cfRule type="duplicateValues" dxfId="7" priority="7"/>
    <cfRule type="duplicateValues" dxfId="6" priority="8"/>
  </conditionalFormatting>
  <conditionalFormatting sqref="D91">
    <cfRule type="duplicateValues" dxfId="5" priority="5"/>
    <cfRule type="duplicateValues" dxfId="4" priority="6"/>
  </conditionalFormatting>
  <conditionalFormatting sqref="D92">
    <cfRule type="duplicateValues" dxfId="3" priority="3"/>
    <cfRule type="duplicateValues" dxfId="2" priority="4"/>
  </conditionalFormatting>
  <conditionalFormatting sqref="D93">
    <cfRule type="duplicateValues" dxfId="1" priority="1"/>
    <cfRule type="duplicateValues" dxfId="0" priority="2"/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B948-9104-45C7-8D38-73C80F500BF9}">
  <dimension ref="A1:D1"/>
  <sheetViews>
    <sheetView workbookViewId="0">
      <selection activeCell="A2" sqref="A2"/>
    </sheetView>
  </sheetViews>
  <sheetFormatPr baseColWidth="10" defaultRowHeight="15" x14ac:dyDescent="0.25"/>
  <sheetData>
    <row r="1" spans="1:4" ht="27" thickBot="1" x14ac:dyDescent="0.3">
      <c r="A1" s="1" t="s">
        <v>124</v>
      </c>
      <c r="B1" s="1" t="s">
        <v>125</v>
      </c>
      <c r="C1" s="1" t="s">
        <v>126</v>
      </c>
      <c r="D1" s="1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OBRAS</vt:lpstr>
      <vt:lpstr>COMPROBACION_GASTOS</vt:lpstr>
      <vt:lpstr>LOGS</vt:lpstr>
    </vt:vector>
  </TitlesOfParts>
  <Company>Universidad de Guadalajara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 de computo</dc:creator>
  <cp:lastModifiedBy>Equipo de computo</cp:lastModifiedBy>
  <dcterms:created xsi:type="dcterms:W3CDTF">2026-06-08T17:07:42Z</dcterms:created>
  <dcterms:modified xsi:type="dcterms:W3CDTF">2026-06-08T23:21:05Z</dcterms:modified>
</cp:coreProperties>
</file>