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.lopez\Documents\Python\Master Web\Marvi-Confort\Insumos Piloto\"/>
    </mc:Choice>
  </mc:AlternateContent>
  <xr:revisionPtr revIDLastSave="0" documentId="13_ncr:1_{D4BC0B44-5890-412C-94BE-B827E088E7CB}" xr6:coauthVersionLast="36" xr6:coauthVersionMax="47" xr10:uidLastSave="{00000000-0000-0000-0000-000000000000}"/>
  <bookViews>
    <workbookView minimized="1" xWindow="0" yWindow="0" windowWidth="28800" windowHeight="12105" xr2:uid="{BDE8E738-D360-43E3-A3EB-97AD3984725B}"/>
  </bookViews>
  <sheets>
    <sheet name="36" sheetId="1" r:id="rId1"/>
  </sheets>
  <definedNames>
    <definedName name="_xlnm._FilterDatabase" localSheetId="0" hidden="1">'36'!$A$4:$P$9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5" i="1" l="1"/>
  <c r="K11" i="1"/>
  <c r="J11" i="1"/>
  <c r="I11" i="1"/>
  <c r="G11" i="1"/>
  <c r="L9" i="1"/>
  <c r="M9" i="1" s="1"/>
  <c r="L8" i="1"/>
  <c r="H8" i="1"/>
  <c r="L7" i="1"/>
  <c r="M7" i="1" s="1"/>
  <c r="L6" i="1"/>
  <c r="H6" i="1"/>
  <c r="L5" i="1"/>
  <c r="H5" i="1"/>
  <c r="M6" i="1" l="1"/>
  <c r="H11" i="1"/>
  <c r="M5" i="1"/>
  <c r="M8" i="1"/>
  <c r="M11" i="1" l="1"/>
</calcChain>
</file>

<file path=xl/sharedStrings.xml><?xml version="1.0" encoding="utf-8"?>
<sst xmlns="http://schemas.openxmlformats.org/spreadsheetml/2006/main" count="74" uniqueCount="47">
  <si>
    <t>COMPROBACION DE GASTOS MARVI CONFORT DE MEXICO 2026 DEL 27 DE MAYO, DE CD JUAREZ A MEXICALI, LEON PEDRO</t>
  </si>
  <si>
    <t>FECHA</t>
  </si>
  <si>
    <t>DEDUCIBLE</t>
  </si>
  <si>
    <t xml:space="preserve">FACTURA </t>
  </si>
  <si>
    <t xml:space="preserve">PROVEEDOR </t>
  </si>
  <si>
    <t xml:space="preserve">TRABAJADOR </t>
  </si>
  <si>
    <t xml:space="preserve">OBRA </t>
  </si>
  <si>
    <t>SUBTOTAL</t>
  </si>
  <si>
    <t xml:space="preserve">IVA </t>
  </si>
  <si>
    <t>RET IVA.</t>
  </si>
  <si>
    <t>RET ISR</t>
  </si>
  <si>
    <t>DESCUENTOS</t>
  </si>
  <si>
    <t>ISH</t>
  </si>
  <si>
    <t>TOTAL</t>
  </si>
  <si>
    <t>TIPO DE PAGO</t>
  </si>
  <si>
    <t>DESCRIPCION</t>
  </si>
  <si>
    <t>RFC</t>
  </si>
  <si>
    <t>SI</t>
  </si>
  <si>
    <t>5f0aec6a-5d55-4db9-abea-a34cec664732</t>
  </si>
  <si>
    <t>CONCESIONARIA SANTA ANA ALTAR</t>
  </si>
  <si>
    <t>LEON PEDRO</t>
  </si>
  <si>
    <t>DE CD JUAREZ A MEXICALI</t>
  </si>
  <si>
    <t>Efectivo</t>
  </si>
  <si>
    <t>PEAJE PARA EL USO O GOCE DE LA CARRETERA</t>
  </si>
  <si>
    <t>6C820CD6-2DA5-5666-8754-4291DCDB5632</t>
  </si>
  <si>
    <t>FONDO NACIONAL DE INFRAESTRUCTURA</t>
  </si>
  <si>
    <t>SERVICIO DE PEAJE Y CRUCE CARRETERO MAGDALENA</t>
  </si>
  <si>
    <t>8EE085EE-06BE-E848-8A29-AF8248599C80</t>
  </si>
  <si>
    <t>ALMACENES DISTRIBUIDORES DE LA FRONTERA</t>
  </si>
  <si>
    <t>Tarjeta de Debito</t>
  </si>
  <si>
    <t>ACEITE P MOTOR MEX QUAKER</t>
  </si>
  <si>
    <t>18a81919-5893-43b6-bf45-73809281f2f6</t>
  </si>
  <si>
    <t>FIDEICOMISO PUENTE COLORADO BANAMEX</t>
  </si>
  <si>
    <t>CASETA SAN LUIS RIO COLORADO CARRIL 3</t>
  </si>
  <si>
    <t>70F38DCE-7D7B-461A-8E01-5C9BE30DD7C4</t>
  </si>
  <si>
    <t>LLANTAS Y SERVICIOS NEUMATIC</t>
  </si>
  <si>
    <t>ALINEACION</t>
  </si>
  <si>
    <t>GASTOS NO DEDUCIBLES</t>
  </si>
  <si>
    <t>NO</t>
  </si>
  <si>
    <t>TICKET</t>
  </si>
  <si>
    <t>GASOLINA</t>
  </si>
  <si>
    <t>GASOLINA (PAG EN EFECTIVO)</t>
  </si>
  <si>
    <t>CSA171003QCA</t>
  </si>
  <si>
    <t>FNI970829JR9</t>
  </si>
  <si>
    <t>ADF6908013Q9</t>
  </si>
  <si>
    <t>FPC000503R57</t>
  </si>
  <si>
    <t>LSN200601FQ2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</si>
</sst>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_-;\-* #,##0.00_-;_-* &quot;-&quot;??_-;_-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14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43" fontId="4" fillId="0" borderId="6" xfId="1" applyFont="1" applyFill="1" applyBorder="1" applyAlignment="1">
      <alignment horizontal="center" vertical="center"/>
    </xf>
    <xf numFmtId="43" fontId="4" fillId="0" borderId="7" xfId="1" applyFont="1" applyFill="1" applyBorder="1" applyAlignment="1">
      <alignment horizontal="center" vertical="center"/>
    </xf>
    <xf numFmtId="43" fontId="4" fillId="0" borderId="8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4" fontId="0" fillId="0" borderId="0" xfId="2" applyFont="1" applyFill="1"/>
    <xf numFmtId="44" fontId="0" fillId="0" borderId="0" xfId="2" applyFont="1"/>
    <xf numFmtId="43" fontId="0" fillId="0" borderId="0" xfId="0" applyNumberFormat="1"/>
    <xf numFmtId="0" fontId="0" fillId="0" borderId="0" xfId="0" applyAlignment="1">
      <alignment horizontal="left" vertical="center"/>
    </xf>
    <xf numFmtId="44" fontId="0" fillId="0" borderId="0" xfId="0" applyNumberFormat="1"/>
    <xf numFmtId="0" fontId="0" fillId="0" borderId="0" xfId="0" applyAlignment="1">
      <alignment horizontal="left"/>
    </xf>
    <xf numFmtId="43" fontId="0" fillId="0" borderId="10" xfId="0" applyNumberFormat="1" applyBorder="1"/>
    <xf numFmtId="44" fontId="0" fillId="0" borderId="10" xfId="2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D42C-CCD6-4A0A-BCF8-334D38240D4D}">
  <dimension ref="A2:Q34"/>
  <sheetViews>
    <sheetView tabSelected="1" zoomScale="90" zoomScaleNormal="90" workbookViewId="0">
      <selection activeCell="H49" sqref="H49"/>
    </sheetView>
  </sheetViews>
  <sheetFormatPr baseColWidth="10" defaultRowHeight="15" x14ac:dyDescent="0.25"/>
  <cols>
    <col min="1" max="1" width="11.7109375" bestFit="1" customWidth="1"/>
    <col min="2" max="2" width="13.42578125" bestFit="1" customWidth="1"/>
    <col min="3" max="3" width="43.42578125" customWidth="1"/>
    <col min="4" max="4" width="44.42578125" customWidth="1"/>
    <col min="5" max="5" width="17.42578125" customWidth="1"/>
    <col min="6" max="6" width="24.140625" customWidth="1"/>
    <col min="7" max="7" width="14.42578125" customWidth="1"/>
    <col min="8" max="8" width="11.42578125" customWidth="1"/>
    <col min="9" max="9" width="11.5703125" customWidth="1"/>
    <col min="10" max="10" width="11" customWidth="1"/>
    <col min="11" max="11" width="18" customWidth="1"/>
    <col min="12" max="12" width="11.42578125" customWidth="1"/>
    <col min="13" max="13" width="12.42578125" bestFit="1" customWidth="1"/>
    <col min="14" max="14" width="33.5703125" bestFit="1" customWidth="1"/>
    <col min="15" max="15" width="51.5703125" bestFit="1" customWidth="1"/>
    <col min="16" max="16" width="16.7109375" bestFit="1" customWidth="1"/>
  </cols>
  <sheetData>
    <row r="2" spans="1:17" ht="15.75" thickBot="1" x14ac:dyDescent="0.3"/>
    <row r="3" spans="1:17" ht="24" thickBot="1" x14ac:dyDescent="0.4">
      <c r="A3" s="1"/>
      <c r="B3" s="24" t="s">
        <v>0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6"/>
    </row>
    <row r="4" spans="1:17" ht="16.5" thickBot="1" x14ac:dyDescent="0.3">
      <c r="A4" s="2" t="s">
        <v>1</v>
      </c>
      <c r="B4" s="3" t="s">
        <v>2</v>
      </c>
      <c r="C4" s="3" t="s">
        <v>3</v>
      </c>
      <c r="D4" s="4" t="s">
        <v>4</v>
      </c>
      <c r="E4" s="4" t="s">
        <v>5</v>
      </c>
      <c r="F4" s="5" t="s">
        <v>6</v>
      </c>
      <c r="G4" s="6" t="s">
        <v>7</v>
      </c>
      <c r="H4" s="6" t="s">
        <v>8</v>
      </c>
      <c r="I4" s="6" t="s">
        <v>9</v>
      </c>
      <c r="J4" s="7" t="s">
        <v>10</v>
      </c>
      <c r="K4" s="8" t="s">
        <v>11</v>
      </c>
      <c r="L4" s="8" t="s">
        <v>12</v>
      </c>
      <c r="M4" s="8" t="s">
        <v>13</v>
      </c>
      <c r="N4" s="9" t="s">
        <v>14</v>
      </c>
      <c r="O4" s="9" t="s">
        <v>15</v>
      </c>
      <c r="P4" s="10" t="s">
        <v>16</v>
      </c>
      <c r="Q4" s="11"/>
    </row>
    <row r="5" spans="1:17" x14ac:dyDescent="0.25">
      <c r="A5" s="12">
        <v>46169</v>
      </c>
      <c r="B5" s="13" t="s">
        <v>17</v>
      </c>
      <c r="C5" s="13" t="s">
        <v>18</v>
      </c>
      <c r="D5" t="s">
        <v>19</v>
      </c>
      <c r="E5" s="13" t="s">
        <v>20</v>
      </c>
      <c r="F5" s="13" t="s">
        <v>21</v>
      </c>
      <c r="G5" s="14">
        <v>179.31</v>
      </c>
      <c r="H5" s="14">
        <f>ROUND((G5-K5)*0.16,2)</f>
        <v>28.69</v>
      </c>
      <c r="I5" s="15"/>
      <c r="J5" s="16"/>
      <c r="K5" s="14"/>
      <c r="L5" s="16">
        <f>+IF(O5="HOSPEDAJE",ROUND(G5*0.04,2),0)</f>
        <v>0</v>
      </c>
      <c r="M5" s="16">
        <f>G5+H5+L5-K5-J5-I5</f>
        <v>208</v>
      </c>
      <c r="N5" t="s">
        <v>22</v>
      </c>
      <c r="O5" t="s">
        <v>23</v>
      </c>
      <c r="P5" s="13" t="s">
        <v>42</v>
      </c>
    </row>
    <row r="6" spans="1:17" x14ac:dyDescent="0.25">
      <c r="A6" s="12">
        <v>46169</v>
      </c>
      <c r="B6" s="13" t="s">
        <v>17</v>
      </c>
      <c r="C6" s="13" t="s">
        <v>24</v>
      </c>
      <c r="D6" t="s">
        <v>25</v>
      </c>
      <c r="E6" s="13" t="s">
        <v>20</v>
      </c>
      <c r="F6" s="13" t="s">
        <v>21</v>
      </c>
      <c r="G6" s="14">
        <v>49.14</v>
      </c>
      <c r="H6" s="14">
        <f>ROUND((G6-K6)*0.16,2)</f>
        <v>7.86</v>
      </c>
      <c r="I6" s="15"/>
      <c r="J6" s="16"/>
      <c r="K6" s="14"/>
      <c r="L6" s="16">
        <f>+IF(O6="HOSPEDAJE",ROUND(G6*0.04,2),0)</f>
        <v>0</v>
      </c>
      <c r="M6" s="16">
        <f t="shared" ref="M6:M9" si="0">G6+H6+L6-K6-J6-I6</f>
        <v>57</v>
      </c>
      <c r="N6" t="s">
        <v>22</v>
      </c>
      <c r="O6" t="s">
        <v>26</v>
      </c>
      <c r="P6" s="13" t="s">
        <v>43</v>
      </c>
    </row>
    <row r="7" spans="1:17" x14ac:dyDescent="0.25">
      <c r="A7" s="12">
        <v>46166</v>
      </c>
      <c r="B7" s="13" t="s">
        <v>17</v>
      </c>
      <c r="C7" s="13" t="s">
        <v>27</v>
      </c>
      <c r="D7" t="s">
        <v>28</v>
      </c>
      <c r="E7" s="13" t="s">
        <v>20</v>
      </c>
      <c r="F7" s="13" t="s">
        <v>21</v>
      </c>
      <c r="G7" s="14">
        <v>117.59</v>
      </c>
      <c r="H7" s="14">
        <v>9.41</v>
      </c>
      <c r="I7" s="15"/>
      <c r="J7" s="16"/>
      <c r="K7" s="14"/>
      <c r="L7" s="16">
        <f>+IF(O7="HOSPEDAJE",ROUND(G7*0.04,2),0)</f>
        <v>0</v>
      </c>
      <c r="M7" s="16">
        <f t="shared" si="0"/>
        <v>127</v>
      </c>
      <c r="N7" t="s">
        <v>29</v>
      </c>
      <c r="O7" t="s">
        <v>30</v>
      </c>
      <c r="P7" s="13" t="s">
        <v>44</v>
      </c>
    </row>
    <row r="8" spans="1:17" x14ac:dyDescent="0.25">
      <c r="A8" s="12">
        <v>46169</v>
      </c>
      <c r="B8" s="13" t="s">
        <v>17</v>
      </c>
      <c r="C8" s="13" t="s">
        <v>31</v>
      </c>
      <c r="D8" t="s">
        <v>32</v>
      </c>
      <c r="E8" s="13" t="s">
        <v>20</v>
      </c>
      <c r="F8" s="13" t="s">
        <v>21</v>
      </c>
      <c r="G8" s="14">
        <v>20.69</v>
      </c>
      <c r="H8" s="14">
        <f>ROUND((G8-K8)*0.16,2)</f>
        <v>3.31</v>
      </c>
      <c r="I8" s="15"/>
      <c r="J8" s="16"/>
      <c r="K8" s="14"/>
      <c r="L8" s="16">
        <f>+IF(O8="HOSPEDAJE",ROUND(G8*0.04,2),0)</f>
        <v>0</v>
      </c>
      <c r="M8" s="16">
        <f t="shared" si="0"/>
        <v>24</v>
      </c>
      <c r="N8" t="s">
        <v>22</v>
      </c>
      <c r="O8" t="s">
        <v>33</v>
      </c>
      <c r="P8" s="13" t="s">
        <v>45</v>
      </c>
    </row>
    <row r="9" spans="1:17" x14ac:dyDescent="0.25">
      <c r="A9" s="12">
        <v>46167</v>
      </c>
      <c r="B9" s="13" t="s">
        <v>17</v>
      </c>
      <c r="C9" s="13" t="s">
        <v>34</v>
      </c>
      <c r="D9" t="s">
        <v>35</v>
      </c>
      <c r="E9" s="13" t="s">
        <v>20</v>
      </c>
      <c r="F9" s="13" t="s">
        <v>21</v>
      </c>
      <c r="G9" s="14">
        <v>1000</v>
      </c>
      <c r="H9" s="14">
        <v>80</v>
      </c>
      <c r="I9" s="15"/>
      <c r="J9" s="16"/>
      <c r="K9" s="14"/>
      <c r="L9" s="16">
        <f>+IF(O9="HOSPEDAJE",ROUND(G9*0.04,2),0)</f>
        <v>0</v>
      </c>
      <c r="M9" s="16">
        <f t="shared" si="0"/>
        <v>1080</v>
      </c>
      <c r="N9" t="s">
        <v>29</v>
      </c>
      <c r="O9" t="s">
        <v>36</v>
      </c>
      <c r="P9" s="13" t="s">
        <v>46</v>
      </c>
    </row>
    <row r="10" spans="1:17" x14ac:dyDescent="0.25">
      <c r="A10" s="12"/>
      <c r="B10" s="13"/>
      <c r="C10" s="19"/>
      <c r="D10" s="17"/>
      <c r="F10" s="13"/>
      <c r="G10" s="15"/>
      <c r="H10" s="15"/>
      <c r="I10" s="16"/>
      <c r="J10" s="16"/>
      <c r="K10" s="16"/>
      <c r="L10" s="16"/>
      <c r="M10" s="16"/>
      <c r="P10" s="13"/>
    </row>
    <row r="11" spans="1:17" ht="15.75" thickBot="1" x14ac:dyDescent="0.3">
      <c r="A11" s="12"/>
      <c r="G11" s="20">
        <f>SUM(G5:G10)</f>
        <v>1366.73</v>
      </c>
      <c r="H11" s="20">
        <f>+SUM(H5:H10)</f>
        <v>129.27000000000001</v>
      </c>
      <c r="I11" s="20">
        <f>SUM(I5:I10)</f>
        <v>0</v>
      </c>
      <c r="J11" s="20">
        <f>SUM(J5:J10)</f>
        <v>0</v>
      </c>
      <c r="K11" s="20">
        <f>SUM(K5:K10)</f>
        <v>0</v>
      </c>
      <c r="L11" s="20"/>
      <c r="M11" s="21">
        <f>SUM(M5:M10)</f>
        <v>1496</v>
      </c>
    </row>
    <row r="12" spans="1:17" ht="15.75" thickTop="1" x14ac:dyDescent="0.25">
      <c r="A12" s="12"/>
      <c r="L12" s="16"/>
      <c r="M12" s="16"/>
    </row>
    <row r="13" spans="1:17" x14ac:dyDescent="0.25">
      <c r="A13" s="12"/>
      <c r="I13" s="16"/>
      <c r="K13" s="16"/>
      <c r="N13" s="18"/>
    </row>
    <row r="14" spans="1:17" x14ac:dyDescent="0.25">
      <c r="A14" s="12"/>
      <c r="M14" s="16"/>
      <c r="N14" s="18"/>
    </row>
    <row r="15" spans="1:17" x14ac:dyDescent="0.25">
      <c r="A15" s="12"/>
      <c r="M15" s="15"/>
    </row>
    <row r="16" spans="1:17" x14ac:dyDescent="0.25">
      <c r="A16" s="12"/>
      <c r="N16" s="18"/>
    </row>
    <row r="17" spans="1:15" ht="18.75" x14ac:dyDescent="0.3">
      <c r="B17" s="13"/>
      <c r="D17" s="22" t="s">
        <v>37</v>
      </c>
    </row>
    <row r="18" spans="1:15" x14ac:dyDescent="0.25">
      <c r="A18" s="12">
        <v>46165</v>
      </c>
      <c r="B18" s="23" t="s">
        <v>38</v>
      </c>
      <c r="C18" s="13" t="s">
        <v>39</v>
      </c>
      <c r="D18" s="13" t="s">
        <v>40</v>
      </c>
      <c r="M18" s="14">
        <v>1082</v>
      </c>
      <c r="O18" s="18"/>
    </row>
    <row r="19" spans="1:15" x14ac:dyDescent="0.25">
      <c r="A19" s="12">
        <v>46165</v>
      </c>
      <c r="B19" s="23" t="s">
        <v>38</v>
      </c>
      <c r="C19" s="13" t="s">
        <v>39</v>
      </c>
      <c r="D19" s="13" t="s">
        <v>41</v>
      </c>
      <c r="M19" s="14">
        <v>1288.57</v>
      </c>
      <c r="O19" s="18"/>
    </row>
    <row r="20" spans="1:15" x14ac:dyDescent="0.25">
      <c r="A20" s="12">
        <v>46165</v>
      </c>
      <c r="B20" s="23" t="s">
        <v>38</v>
      </c>
      <c r="C20" s="13" t="s">
        <v>39</v>
      </c>
      <c r="D20" s="23" t="s">
        <v>40</v>
      </c>
      <c r="M20" s="14">
        <v>1360.33</v>
      </c>
      <c r="O20" s="18"/>
    </row>
    <row r="21" spans="1:15" x14ac:dyDescent="0.25">
      <c r="A21" s="12">
        <v>46165</v>
      </c>
      <c r="B21" s="23" t="s">
        <v>38</v>
      </c>
      <c r="C21" s="13" t="s">
        <v>39</v>
      </c>
      <c r="D21" s="23" t="s">
        <v>40</v>
      </c>
      <c r="M21" s="14">
        <v>1460.82</v>
      </c>
      <c r="O21" s="18"/>
    </row>
    <row r="22" spans="1:15" x14ac:dyDescent="0.25">
      <c r="A22" s="12">
        <v>46165</v>
      </c>
      <c r="B22" s="23" t="s">
        <v>38</v>
      </c>
      <c r="C22" s="13" t="s">
        <v>39</v>
      </c>
      <c r="D22" s="23" t="s">
        <v>40</v>
      </c>
      <c r="M22" s="14">
        <v>1765.62</v>
      </c>
      <c r="O22" s="18"/>
    </row>
    <row r="23" spans="1:15" x14ac:dyDescent="0.25">
      <c r="A23" s="12">
        <v>46169</v>
      </c>
      <c r="B23" s="23" t="s">
        <v>38</v>
      </c>
      <c r="C23" s="13"/>
      <c r="D23" s="23"/>
      <c r="M23" s="14"/>
      <c r="O23" s="18"/>
    </row>
    <row r="24" spans="1:15" x14ac:dyDescent="0.25">
      <c r="A24" s="12"/>
      <c r="M24" s="15"/>
    </row>
    <row r="25" spans="1:15" ht="15.75" thickBot="1" x14ac:dyDescent="0.3">
      <c r="A25" s="12"/>
      <c r="M25" s="21">
        <f>SUM(M18:M24)</f>
        <v>6957.3399999999992</v>
      </c>
    </row>
    <row r="26" spans="1:15" ht="15.75" thickTop="1" x14ac:dyDescent="0.25"/>
    <row r="30" spans="1:15" x14ac:dyDescent="0.25">
      <c r="M30" s="18"/>
    </row>
    <row r="31" spans="1:15" x14ac:dyDescent="0.25">
      <c r="M31" s="18"/>
    </row>
    <row r="34" spans="13:13" x14ac:dyDescent="0.25">
      <c r="M34" s="18"/>
    </row>
  </sheetData>
  <autoFilter ref="A4:P9" xr:uid="{80918894-B22B-4793-B37F-615F84A636C6}"/>
  <mergeCells count="1">
    <mergeCell ref="B3:O3"/>
  </mergeCells>
  <conditionalFormatting sqref="C18">
    <cfRule type="duplicateValues" dxfId="12" priority="12"/>
    <cfRule type="duplicateValues" dxfId="11" priority="13"/>
  </conditionalFormatting>
  <conditionalFormatting sqref="C5:C9">
    <cfRule type="duplicateValues" dxfId="10" priority="9"/>
    <cfRule type="duplicateValues" dxfId="9" priority="10"/>
    <cfRule type="duplicateValues" dxfId="8" priority="11"/>
  </conditionalFormatting>
  <conditionalFormatting sqref="C19">
    <cfRule type="duplicateValues" dxfId="7" priority="7"/>
    <cfRule type="duplicateValues" dxfId="6" priority="8"/>
  </conditionalFormatting>
  <conditionalFormatting sqref="C20">
    <cfRule type="duplicateValues" dxfId="5" priority="5"/>
    <cfRule type="duplicateValues" dxfId="4" priority="6"/>
  </conditionalFormatting>
  <conditionalFormatting sqref="C21">
    <cfRule type="duplicateValues" dxfId="3" priority="3"/>
    <cfRule type="duplicateValues" dxfId="2" priority="4"/>
  </conditionalFormatting>
  <conditionalFormatting sqref="C2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jazmin.marviconfort@gmail.com</dc:creator>
  <cp:lastModifiedBy>Equipo de computo</cp:lastModifiedBy>
  <dcterms:created xsi:type="dcterms:W3CDTF">2026-05-27T23:26:53Z</dcterms:created>
  <dcterms:modified xsi:type="dcterms:W3CDTF">2026-06-08T21:50:00Z</dcterms:modified>
</cp:coreProperties>
</file>