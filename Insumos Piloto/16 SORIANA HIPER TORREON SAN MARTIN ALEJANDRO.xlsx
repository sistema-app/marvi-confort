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u0WVAX7zmz9iTO3-3j_6qM13B4aavxkh\COMPROBACIONES\Gabriela Serrano\San Martin Alejandro\16 SORIANA HIPER TORREON\"/>
    </mc:Choice>
  </mc:AlternateContent>
  <xr:revisionPtr revIDLastSave="0" documentId="8_{F72CB0A0-22F1-4A5D-8C56-3AF3AD74B5D9}" xr6:coauthVersionLast="47" xr6:coauthVersionMax="47" xr10:uidLastSave="{00000000-0000-0000-0000-000000000000}"/>
  <bookViews>
    <workbookView xWindow="2280" yWindow="2280" windowWidth="8620" windowHeight="7260" xr2:uid="{D101770B-A86C-4085-8C99-12CDBEF906CC}"/>
  </bookViews>
  <sheets>
    <sheet name="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" l="1"/>
  <c r="L20" i="1"/>
  <c r="K20" i="1"/>
  <c r="J20" i="1"/>
  <c r="I20" i="1"/>
  <c r="G20" i="1"/>
  <c r="M18" i="1"/>
  <c r="M17" i="1"/>
  <c r="H16" i="1"/>
  <c r="M16" i="1" s="1"/>
  <c r="M15" i="1"/>
  <c r="M14" i="1"/>
  <c r="M13" i="1"/>
  <c r="M12" i="1"/>
  <c r="M11" i="1"/>
  <c r="M10" i="1"/>
  <c r="M9" i="1"/>
  <c r="M8" i="1"/>
  <c r="M7" i="1"/>
  <c r="M6" i="1"/>
  <c r="M5" i="1"/>
  <c r="M20" i="1" l="1"/>
  <c r="H20" i="1"/>
</calcChain>
</file>

<file path=xl/sharedStrings.xml><?xml version="1.0" encoding="utf-8"?>
<sst xmlns="http://schemas.openxmlformats.org/spreadsheetml/2006/main" count="133" uniqueCount="58">
  <si>
    <t>COMPROBACION DE GASTOS MARVI CONFORT DE MEXICO A 27 DE MAYO DEL 2026, GASTOS DE LA OBRA SORIANA HIPER TORREON, SAN MARTIN ALEJANDRO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</si>
  <si>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</si>
  <si>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</si>
  <si>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</si>
  <si>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</si>
  <si>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</si>
  <si>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</si>
  <si>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</si>
  <si>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</si>
  <si>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</si>
  <si>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</si>
  <si>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</si>
  <si>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</si>
  <si>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</si>
  <si>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</si>
  <si>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</si>
  <si>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RFC</t>
  </si>
  <si>
    <t>SI</t>
  </si>
  <si>
    <t>8c216bc3-8ec4-4b29-baa7-1154f006215d</t>
  </si>
  <si>
    <t>TIENDAS SORIANA SA DE CV</t>
  </si>
  <si>
    <t>SAN MARTIN ALEJANDRO</t>
  </si>
  <si>
    <t>SORIANA HIPER TORREON</t>
  </si>
  <si>
    <t>Tarjeta de Debito</t>
  </si>
  <si>
    <t>AGUA NATURAL EPURA 10 LT BOT</t>
  </si>
  <si>
    <t>8d8d818e-1815-4580-8c7e-b2ad03b23094</t>
  </si>
  <si>
    <t>33b21959-9b66-41a6-9edd-8dd792c45587</t>
  </si>
  <si>
    <t>AGUA NATURAL CIEL 1.5 LT BOT</t>
  </si>
  <si>
    <t>480b5d08-214d-4fec-a8d9-ad03189962ed</t>
  </si>
  <si>
    <t>19597d69-b394-48bc-9968-3684772c8847</t>
  </si>
  <si>
    <t>CEPILLO ALAMBRE PRECISSIMO #64</t>
  </si>
  <si>
    <t>a8d607b6-4b23-4392-b0d5-cc9fef333f8c</t>
  </si>
  <si>
    <t>ELECTROLIT DX 5 FSA SOL 625 ML</t>
  </si>
  <si>
    <t>b9b0e02b-9c04-4ae3-b66b-a1ba3c5b708c</t>
  </si>
  <si>
    <t>BEBIDA GATORADE FIERCE MORAS 1</t>
  </si>
  <si>
    <t>c12bb0ef-6c94-460d-b258-f350aa18b1ce</t>
  </si>
  <si>
    <t>ELECTROLIT UVA SOL C/625 ML</t>
  </si>
  <si>
    <t>c779879f-5eae-4ef5-8526-c3cd00885c02</t>
  </si>
  <si>
    <t>D3CBAD7A-E61D-437F-90EA-CA36D8BCB135</t>
  </si>
  <si>
    <t>VICTOR MANUEL VALENZUELA MORENO</t>
  </si>
  <si>
    <t>PIJA HEXAGONAL PUNTA AGUDA 1/4 x 3"</t>
  </si>
  <si>
    <t>dc0f36ee-bb4f-45fb-89c5-80c1230f707f</t>
  </si>
  <si>
    <t>COMBUSTIBLES MURPA</t>
  </si>
  <si>
    <t>GASOLINA</t>
  </si>
  <si>
    <t>EDF7E6B5-E911-CB4F-B669-CDD43EEDCE02</t>
  </si>
  <si>
    <t>AYRTON RAMIREZ CARDONA</t>
  </si>
  <si>
    <t>PIJA HEX BROCA GALV 14 X 1.1/2</t>
  </si>
  <si>
    <t>f176cff2-271c-4c47-8913-85af609af451</t>
  </si>
  <si>
    <t>AGUA NATURAL EPURA 5 LT BOT</t>
  </si>
  <si>
    <t>fc7da79c-a72c-4ccb-b788-aec57e646ec6</t>
  </si>
  <si>
    <t>AGUA NATURAL CIEL 1 LT BOT</t>
  </si>
  <si>
    <t>NO DEDUCIBLES</t>
  </si>
  <si>
    <t>NO</t>
  </si>
  <si>
    <t>6e4d34b4-29c9-4459-b471-c0aa2583a618</t>
  </si>
  <si>
    <t>FACTURA (REGIMEN ERRONEO9</t>
  </si>
  <si>
    <t>TSO991022PB6</t>
  </si>
  <si>
    <t>VAMV600420GQA</t>
  </si>
  <si>
    <t>CMU020307JG3</t>
  </si>
  <si>
    <t>RACA931217G38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</si>
</sst>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  <numFmt numFmtId="165" formatCode="General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name val="Helv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6" fillId="0" borderId="0"/>
  </cellStyleXfs>
  <cellXfs count="2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2" applyFont="1"/>
    <xf numFmtId="44" fontId="0" fillId="0" borderId="0" xfId="2" applyFont="1" applyFill="1"/>
    <xf numFmtId="14" fontId="0" fillId="0" borderId="0" xfId="0" applyNumberFormat="1"/>
    <xf numFmtId="0" fontId="5" fillId="0" borderId="0" xfId="0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0" borderId="10" xfId="0" applyNumberFormat="1" applyBorder="1"/>
    <xf numFmtId="44" fontId="7" fillId="0" borderId="0" xfId="3" applyNumberFormat="1" applyFont="1" applyAlignment="1">
      <alignment vertical="center"/>
    </xf>
    <xf numFmtId="0" fontId="8" fillId="0" borderId="0" xfId="0" applyFont="1"/>
    <xf numFmtId="8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Normal_REPGASTO" xfId="3" xr:uid="{3BD37C26-D049-436D-8AFE-61F80EF2ADB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CD19-120B-4281-B343-FC69C270374A}">
  <dimension ref="A2:P33"/>
  <sheetViews>
    <sheetView tabSelected="1" zoomScale="85" zoomScaleNormal="85" workbookViewId="0">
      <selection activeCell="P5" sqref="P5:P18"/>
    </sheetView>
  </sheetViews>
  <sheetFormatPr baseColWidth="10" defaultRowHeight="14.5" x14ac:dyDescent="0.35"/>
  <cols>
    <col min="1" max="1" width="12.08984375" bestFit="1" customWidth="1"/>
    <col min="2" max="2" width="13.453125" bestFit="1" customWidth="1"/>
    <col min="3" max="3" width="42.453125" bestFit="1" customWidth="1"/>
    <col min="4" max="4" width="46" bestFit="1" customWidth="1"/>
    <col min="5" max="5" width="22.81640625" bestFit="1" customWidth="1"/>
    <col min="6" max="6" width="29" bestFit="1" customWidth="1"/>
    <col min="7" max="7" width="14.08984375" bestFit="1" customWidth="1"/>
    <col min="8" max="8" width="10.54296875" bestFit="1" customWidth="1"/>
    <col min="9" max="9" width="11.54296875" bestFit="1" customWidth="1"/>
    <col min="10" max="10" width="11" bestFit="1" customWidth="1"/>
    <col min="11" max="11" width="18" bestFit="1" customWidth="1"/>
    <col min="12" max="12" width="9" bestFit="1" customWidth="1"/>
    <col min="13" max="13" width="11.453125" bestFit="1" customWidth="1"/>
    <col min="14" max="14" width="33.90625" bestFit="1" customWidth="1"/>
    <col min="15" max="15" width="50.453125" bestFit="1" customWidth="1"/>
    <col min="16" max="16" width="16.90625" bestFit="1" customWidth="1"/>
  </cols>
  <sheetData>
    <row r="2" spans="1:16" ht="15" thickBot="1" x14ac:dyDescent="0.4"/>
    <row r="3" spans="1:16" ht="24" thickBot="1" x14ac:dyDescent="0.6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6" ht="16" thickBot="1" x14ac:dyDescent="0.4">
      <c r="A4" s="5" t="s">
        <v>1</v>
      </c>
      <c r="B4" s="6" t="s">
        <v>2</v>
      </c>
      <c r="C4" s="6" t="s">
        <v>3</v>
      </c>
      <c r="D4" s="7" t="s">
        <v>4</v>
      </c>
      <c r="E4" s="7" t="s">
        <v>5</v>
      </c>
      <c r="F4" s="8" t="s">
        <v>6</v>
      </c>
      <c r="G4" s="9" t="s">
        <v>7</v>
      </c>
      <c r="H4" s="9" t="s">
        <v>8</v>
      </c>
      <c r="I4" s="9" t="s">
        <v>9</v>
      </c>
      <c r="J4" s="10" t="s">
        <v>10</v>
      </c>
      <c r="K4" s="11" t="s">
        <v>11</v>
      </c>
      <c r="L4" s="11" t="s">
        <v>12</v>
      </c>
      <c r="M4" s="11" t="s">
        <v>13</v>
      </c>
      <c r="N4" s="12" t="s">
        <v>14</v>
      </c>
      <c r="O4" s="12" t="s">
        <v>15</v>
      </c>
      <c r="P4" s="13" t="s">
        <v>16</v>
      </c>
    </row>
    <row r="5" spans="1:16" x14ac:dyDescent="0.35">
      <c r="A5" s="14">
        <v>46165</v>
      </c>
      <c r="B5" s="15" t="s">
        <v>17</v>
      </c>
      <c r="C5" s="15" t="s">
        <v>18</v>
      </c>
      <c r="D5" s="15" t="s">
        <v>19</v>
      </c>
      <c r="E5" s="15" t="s">
        <v>20</v>
      </c>
      <c r="F5" s="15" t="s">
        <v>21</v>
      </c>
      <c r="G5" s="16">
        <v>81.99</v>
      </c>
      <c r="H5" s="16">
        <v>4.8099999999999996</v>
      </c>
      <c r="I5" s="16"/>
      <c r="J5" s="16"/>
      <c r="K5" s="16"/>
      <c r="L5" s="16"/>
      <c r="M5" s="17">
        <f t="shared" ref="M5:M18" si="0">G5+H5+L5-K5-I5-J5</f>
        <v>86.8</v>
      </c>
      <c r="N5" t="s">
        <v>22</v>
      </c>
      <c r="O5" t="s">
        <v>23</v>
      </c>
      <c r="P5" s="15" t="s">
        <v>54</v>
      </c>
    </row>
    <row r="6" spans="1:16" x14ac:dyDescent="0.35">
      <c r="A6" s="14">
        <v>46158</v>
      </c>
      <c r="B6" s="15" t="s">
        <v>17</v>
      </c>
      <c r="C6" s="15" t="s">
        <v>24</v>
      </c>
      <c r="D6" s="15" t="s">
        <v>19</v>
      </c>
      <c r="E6" s="15" t="s">
        <v>20</v>
      </c>
      <c r="F6" s="15" t="s">
        <v>21</v>
      </c>
      <c r="G6" s="16">
        <v>243.06</v>
      </c>
      <c r="H6" s="16">
        <v>26.34</v>
      </c>
      <c r="I6" s="16"/>
      <c r="J6" s="16"/>
      <c r="K6" s="16"/>
      <c r="L6" s="16"/>
      <c r="M6" s="17">
        <f t="shared" si="0"/>
        <v>269.39999999999998</v>
      </c>
      <c r="N6" t="s">
        <v>22</v>
      </c>
      <c r="O6" t="s">
        <v>23</v>
      </c>
      <c r="P6" s="15" t="s">
        <v>54</v>
      </c>
    </row>
    <row r="7" spans="1:16" x14ac:dyDescent="0.35">
      <c r="A7" s="14">
        <v>46169</v>
      </c>
      <c r="B7" s="15" t="s">
        <v>17</v>
      </c>
      <c r="C7" s="15" t="s">
        <v>25</v>
      </c>
      <c r="D7" s="15" t="s">
        <v>19</v>
      </c>
      <c r="E7" s="15" t="s">
        <v>20</v>
      </c>
      <c r="F7" s="15" t="s">
        <v>21</v>
      </c>
      <c r="G7" s="16">
        <v>45.6</v>
      </c>
      <c r="H7" s="16">
        <v>0</v>
      </c>
      <c r="I7" s="16"/>
      <c r="J7" s="16"/>
      <c r="K7" s="16"/>
      <c r="L7" s="16"/>
      <c r="M7" s="17">
        <f t="shared" si="0"/>
        <v>45.6</v>
      </c>
      <c r="N7" t="s">
        <v>22</v>
      </c>
      <c r="O7" t="s">
        <v>26</v>
      </c>
      <c r="P7" s="15" t="s">
        <v>54</v>
      </c>
    </row>
    <row r="8" spans="1:16" x14ac:dyDescent="0.35">
      <c r="A8" s="14">
        <v>46158</v>
      </c>
      <c r="B8" s="15" t="s">
        <v>17</v>
      </c>
      <c r="C8" s="15" t="s">
        <v>27</v>
      </c>
      <c r="D8" s="15" t="s">
        <v>19</v>
      </c>
      <c r="E8" s="15" t="s">
        <v>20</v>
      </c>
      <c r="F8" s="15" t="s">
        <v>21</v>
      </c>
      <c r="G8" s="16">
        <v>216.56</v>
      </c>
      <c r="H8" s="16">
        <v>26.34</v>
      </c>
      <c r="I8" s="16"/>
      <c r="J8" s="16"/>
      <c r="K8" s="16"/>
      <c r="L8" s="16"/>
      <c r="M8" s="17">
        <f t="shared" si="0"/>
        <v>242.9</v>
      </c>
      <c r="N8" t="s">
        <v>22</v>
      </c>
      <c r="O8" t="s">
        <v>23</v>
      </c>
      <c r="P8" s="15" t="s">
        <v>54</v>
      </c>
    </row>
    <row r="9" spans="1:16" x14ac:dyDescent="0.35">
      <c r="A9" s="14">
        <v>46169</v>
      </c>
      <c r="B9" s="15" t="s">
        <v>17</v>
      </c>
      <c r="C9" s="15" t="s">
        <v>28</v>
      </c>
      <c r="D9" s="15" t="s">
        <v>19</v>
      </c>
      <c r="E9" s="15" t="s">
        <v>20</v>
      </c>
      <c r="F9" s="15" t="s">
        <v>21</v>
      </c>
      <c r="G9" s="16">
        <v>102.58</v>
      </c>
      <c r="H9" s="16">
        <v>16.420000000000002</v>
      </c>
      <c r="I9" s="16"/>
      <c r="J9" s="16"/>
      <c r="K9" s="16"/>
      <c r="L9" s="16"/>
      <c r="M9" s="17">
        <f t="shared" si="0"/>
        <v>119</v>
      </c>
      <c r="N9" t="s">
        <v>22</v>
      </c>
      <c r="O9" t="s">
        <v>29</v>
      </c>
      <c r="P9" s="15" t="s">
        <v>54</v>
      </c>
    </row>
    <row r="10" spans="1:16" x14ac:dyDescent="0.35">
      <c r="A10" s="14">
        <v>46165</v>
      </c>
      <c r="B10" s="15" t="s">
        <v>17</v>
      </c>
      <c r="C10" s="15" t="s">
        <v>30</v>
      </c>
      <c r="D10" s="15" t="s">
        <v>19</v>
      </c>
      <c r="E10" s="15" t="s">
        <v>20</v>
      </c>
      <c r="F10" s="15" t="s">
        <v>21</v>
      </c>
      <c r="G10" s="16">
        <v>147</v>
      </c>
      <c r="H10" s="16">
        <v>0</v>
      </c>
      <c r="I10" s="16"/>
      <c r="J10" s="16"/>
      <c r="K10" s="16"/>
      <c r="L10" s="16"/>
      <c r="M10" s="17">
        <f t="shared" si="0"/>
        <v>147</v>
      </c>
      <c r="N10" t="s">
        <v>22</v>
      </c>
      <c r="O10" t="s">
        <v>31</v>
      </c>
      <c r="P10" s="15" t="s">
        <v>54</v>
      </c>
    </row>
    <row r="11" spans="1:16" x14ac:dyDescent="0.35">
      <c r="A11" s="14">
        <v>46158</v>
      </c>
      <c r="B11" s="15" t="s">
        <v>17</v>
      </c>
      <c r="C11" s="15" t="s">
        <v>32</v>
      </c>
      <c r="D11" s="15" t="s">
        <v>19</v>
      </c>
      <c r="E11" s="15" t="s">
        <v>20</v>
      </c>
      <c r="F11" s="15" t="s">
        <v>21</v>
      </c>
      <c r="G11" s="16">
        <v>29.74</v>
      </c>
      <c r="H11" s="16">
        <v>4.76</v>
      </c>
      <c r="I11" s="16"/>
      <c r="J11" s="16"/>
      <c r="K11" s="16"/>
      <c r="L11" s="16"/>
      <c r="M11" s="17">
        <f t="shared" si="0"/>
        <v>34.5</v>
      </c>
      <c r="N11" t="s">
        <v>22</v>
      </c>
      <c r="O11" t="s">
        <v>33</v>
      </c>
      <c r="P11" s="15" t="s">
        <v>54</v>
      </c>
    </row>
    <row r="12" spans="1:16" x14ac:dyDescent="0.35">
      <c r="A12" s="14">
        <v>46169</v>
      </c>
      <c r="B12" s="15" t="s">
        <v>17</v>
      </c>
      <c r="C12" s="15" t="s">
        <v>34</v>
      </c>
      <c r="D12" s="15" t="s">
        <v>19</v>
      </c>
      <c r="E12" s="15" t="s">
        <v>20</v>
      </c>
      <c r="F12" s="15" t="s">
        <v>21</v>
      </c>
      <c r="G12" s="16">
        <v>26.5</v>
      </c>
      <c r="H12" s="16">
        <v>0</v>
      </c>
      <c r="I12" s="16"/>
      <c r="J12" s="16"/>
      <c r="K12" s="16"/>
      <c r="L12" s="16"/>
      <c r="M12" s="17">
        <f t="shared" si="0"/>
        <v>26.5</v>
      </c>
      <c r="N12" t="s">
        <v>22</v>
      </c>
      <c r="O12" t="s">
        <v>35</v>
      </c>
      <c r="P12" s="15" t="s">
        <v>54</v>
      </c>
    </row>
    <row r="13" spans="1:16" x14ac:dyDescent="0.35">
      <c r="A13" s="14">
        <v>46164</v>
      </c>
      <c r="B13" s="15" t="s">
        <v>17</v>
      </c>
      <c r="C13" s="15" t="s">
        <v>36</v>
      </c>
      <c r="D13" s="15" t="s">
        <v>19</v>
      </c>
      <c r="E13" s="15" t="s">
        <v>20</v>
      </c>
      <c r="F13" s="15" t="s">
        <v>21</v>
      </c>
      <c r="G13" s="16">
        <v>136.85</v>
      </c>
      <c r="H13" s="16">
        <v>9.35</v>
      </c>
      <c r="I13" s="16"/>
      <c r="J13" s="16"/>
      <c r="K13" s="16"/>
      <c r="L13" s="16"/>
      <c r="M13" s="17">
        <f t="shared" si="0"/>
        <v>146.19999999999999</v>
      </c>
      <c r="N13" t="s">
        <v>22</v>
      </c>
      <c r="O13" t="s">
        <v>23</v>
      </c>
      <c r="P13" s="15" t="s">
        <v>54</v>
      </c>
    </row>
    <row r="14" spans="1:16" x14ac:dyDescent="0.35">
      <c r="A14" s="14">
        <v>46168</v>
      </c>
      <c r="B14" s="15" t="s">
        <v>17</v>
      </c>
      <c r="C14" s="15" t="s">
        <v>37</v>
      </c>
      <c r="D14" s="15" t="s">
        <v>38</v>
      </c>
      <c r="E14" s="15" t="s">
        <v>20</v>
      </c>
      <c r="F14" s="15" t="s">
        <v>21</v>
      </c>
      <c r="G14" s="16">
        <v>431.03</v>
      </c>
      <c r="H14" s="16">
        <v>68.97</v>
      </c>
      <c r="I14" s="16"/>
      <c r="J14" s="16"/>
      <c r="K14" s="16"/>
      <c r="L14" s="16"/>
      <c r="M14" s="17">
        <f t="shared" si="0"/>
        <v>500</v>
      </c>
      <c r="N14" t="s">
        <v>22</v>
      </c>
      <c r="O14" t="s">
        <v>39</v>
      </c>
      <c r="P14" s="15" t="s">
        <v>55</v>
      </c>
    </row>
    <row r="15" spans="1:16" x14ac:dyDescent="0.35">
      <c r="A15" s="14">
        <v>46167</v>
      </c>
      <c r="B15" s="15" t="s">
        <v>17</v>
      </c>
      <c r="C15" s="15" t="s">
        <v>40</v>
      </c>
      <c r="D15" s="15" t="s">
        <v>41</v>
      </c>
      <c r="E15" s="15" t="s">
        <v>20</v>
      </c>
      <c r="F15" s="15" t="s">
        <v>21</v>
      </c>
      <c r="G15" s="16">
        <v>1817.72</v>
      </c>
      <c r="H15" s="16">
        <v>282.45</v>
      </c>
      <c r="I15" s="16"/>
      <c r="J15" s="16"/>
      <c r="K15" s="16"/>
      <c r="L15" s="16"/>
      <c r="M15" s="17">
        <f t="shared" si="0"/>
        <v>2100.17</v>
      </c>
      <c r="N15" t="s">
        <v>22</v>
      </c>
      <c r="O15" t="s">
        <v>42</v>
      </c>
      <c r="P15" s="15" t="s">
        <v>56</v>
      </c>
    </row>
    <row r="16" spans="1:16" x14ac:dyDescent="0.35">
      <c r="A16" s="14">
        <v>46167</v>
      </c>
      <c r="B16" s="15" t="s">
        <v>17</v>
      </c>
      <c r="C16" s="15" t="s">
        <v>43</v>
      </c>
      <c r="D16" s="15" t="s">
        <v>44</v>
      </c>
      <c r="E16" s="15" t="s">
        <v>20</v>
      </c>
      <c r="F16" s="15" t="s">
        <v>21</v>
      </c>
      <c r="G16" s="16">
        <v>365</v>
      </c>
      <c r="H16" s="16">
        <f t="shared" ref="H16" si="1">+(G16+K16)*0.16</f>
        <v>58.4</v>
      </c>
      <c r="I16" s="16"/>
      <c r="J16" s="16"/>
      <c r="K16" s="16"/>
      <c r="L16" s="16"/>
      <c r="M16" s="17">
        <f t="shared" si="0"/>
        <v>423.4</v>
      </c>
      <c r="N16" t="s">
        <v>22</v>
      </c>
      <c r="O16" t="s">
        <v>45</v>
      </c>
      <c r="P16" s="15" t="s">
        <v>57</v>
      </c>
    </row>
    <row r="17" spans="1:16" x14ac:dyDescent="0.35">
      <c r="A17" s="14">
        <v>46158</v>
      </c>
      <c r="B17" s="15" t="s">
        <v>17</v>
      </c>
      <c r="C17" s="15" t="s">
        <v>46</v>
      </c>
      <c r="D17" s="15" t="s">
        <v>19</v>
      </c>
      <c r="E17" s="15" t="s">
        <v>20</v>
      </c>
      <c r="F17" s="15" t="s">
        <v>21</v>
      </c>
      <c r="G17" s="16">
        <v>107.9</v>
      </c>
      <c r="H17" s="16">
        <v>0</v>
      </c>
      <c r="I17" s="16"/>
      <c r="J17" s="16"/>
      <c r="K17" s="16"/>
      <c r="L17" s="16"/>
      <c r="M17" s="17">
        <f t="shared" si="0"/>
        <v>107.9</v>
      </c>
      <c r="N17" t="s">
        <v>22</v>
      </c>
      <c r="O17" t="s">
        <v>47</v>
      </c>
      <c r="P17" s="15" t="s">
        <v>54</v>
      </c>
    </row>
    <row r="18" spans="1:16" x14ac:dyDescent="0.35">
      <c r="A18" s="14">
        <v>46169</v>
      </c>
      <c r="B18" s="15" t="s">
        <v>17</v>
      </c>
      <c r="C18" s="15" t="s">
        <v>48</v>
      </c>
      <c r="D18" s="15" t="s">
        <v>19</v>
      </c>
      <c r="E18" s="15" t="s">
        <v>20</v>
      </c>
      <c r="F18" s="15" t="s">
        <v>21</v>
      </c>
      <c r="G18" s="16">
        <v>38.6</v>
      </c>
      <c r="H18" s="16">
        <v>0</v>
      </c>
      <c r="I18" s="16"/>
      <c r="J18" s="16"/>
      <c r="K18" s="16"/>
      <c r="L18" s="16"/>
      <c r="M18" s="17">
        <f t="shared" si="0"/>
        <v>38.6</v>
      </c>
      <c r="N18" t="s">
        <v>22</v>
      </c>
      <c r="O18" t="s">
        <v>49</v>
      </c>
      <c r="P18" s="15" t="s">
        <v>54</v>
      </c>
    </row>
    <row r="19" spans="1:16" x14ac:dyDescent="0.35">
      <c r="A19" s="18"/>
      <c r="B19" s="15"/>
      <c r="C19" s="15"/>
      <c r="D19" s="19"/>
      <c r="E19" s="15"/>
      <c r="F19" s="15"/>
      <c r="G19" s="16"/>
      <c r="H19" s="16"/>
      <c r="I19" s="20"/>
      <c r="J19" s="20"/>
      <c r="K19" s="20"/>
      <c r="L19" s="20"/>
      <c r="M19" s="16"/>
      <c r="P19" s="15"/>
    </row>
    <row r="20" spans="1:16" ht="16" thickBot="1" x14ac:dyDescent="0.4">
      <c r="F20" s="21"/>
      <c r="G20" s="22">
        <f>SUM(G5:G18)</f>
        <v>3790.13</v>
      </c>
      <c r="H20" s="22">
        <f>SUM(H5:H18)</f>
        <v>497.84</v>
      </c>
      <c r="I20" s="22">
        <f>SUM(I5:I18)</f>
        <v>0</v>
      </c>
      <c r="J20" s="22">
        <f>SUM(J5:J18)</f>
        <v>0</v>
      </c>
      <c r="K20" s="22">
        <f>SUM(K5:K18)</f>
        <v>0</v>
      </c>
      <c r="L20" s="22">
        <f>SUM(L5:L18)</f>
        <v>0</v>
      </c>
      <c r="M20" s="22">
        <f>SUM(M5:M18)</f>
        <v>4287.97</v>
      </c>
      <c r="N20" s="23"/>
      <c r="O20" s="20"/>
      <c r="P20" s="15"/>
    </row>
    <row r="21" spans="1:16" ht="15" thickTop="1" x14ac:dyDescent="0.35">
      <c r="M21" s="20"/>
      <c r="P21" s="15"/>
    </row>
    <row r="22" spans="1:16" x14ac:dyDescent="0.35">
      <c r="A22" s="15"/>
      <c r="M22" s="20"/>
      <c r="P22" s="15"/>
    </row>
    <row r="23" spans="1:16" ht="18.5" x14ac:dyDescent="0.45">
      <c r="A23" s="15"/>
      <c r="D23" s="24" t="s">
        <v>50</v>
      </c>
      <c r="M23" s="20"/>
    </row>
    <row r="24" spans="1:16" x14ac:dyDescent="0.35">
      <c r="A24" s="14">
        <v>46158</v>
      </c>
      <c r="B24" s="14" t="s">
        <v>51</v>
      </c>
      <c r="C24" s="15" t="s">
        <v>52</v>
      </c>
      <c r="D24" s="15" t="s">
        <v>53</v>
      </c>
      <c r="L24" s="16"/>
      <c r="M24" s="16">
        <v>0.52</v>
      </c>
    </row>
    <row r="25" spans="1:16" x14ac:dyDescent="0.35">
      <c r="A25" s="14"/>
      <c r="B25" s="14"/>
      <c r="M25" s="25"/>
    </row>
    <row r="26" spans="1:16" ht="15" thickBot="1" x14ac:dyDescent="0.4">
      <c r="A26" s="14"/>
      <c r="B26" s="14"/>
      <c r="M26" s="22">
        <f>SUM(M24:M25)</f>
        <v>0.52</v>
      </c>
    </row>
    <row r="27" spans="1:16" ht="15" thickTop="1" x14ac:dyDescent="0.35">
      <c r="A27" s="14"/>
      <c r="B27" s="14"/>
    </row>
    <row r="28" spans="1:16" x14ac:dyDescent="0.35">
      <c r="A28" s="14"/>
    </row>
    <row r="29" spans="1:16" x14ac:dyDescent="0.35">
      <c r="A29" s="14"/>
    </row>
    <row r="30" spans="1:16" x14ac:dyDescent="0.35">
      <c r="A30" s="14"/>
    </row>
    <row r="31" spans="1:16" x14ac:dyDescent="0.35">
      <c r="A31" s="14"/>
    </row>
    <row r="32" spans="1:16" x14ac:dyDescent="0.35">
      <c r="A32" s="14"/>
    </row>
    <row r="33" spans="1:1" x14ac:dyDescent="0.35">
      <c r="A33" s="14"/>
    </row>
  </sheetData>
  <mergeCells count="1">
    <mergeCell ref="B3:O3"/>
  </mergeCells>
  <conditionalFormatting sqref="C19">
    <cfRule type="duplicateValues" dxfId="2" priority="7"/>
  </conditionalFormatting>
  <conditionalFormatting sqref="C24 C5:C18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Gaby</cp:lastModifiedBy>
  <dcterms:created xsi:type="dcterms:W3CDTF">2026-05-28T00:33:13Z</dcterms:created>
  <dcterms:modified xsi:type="dcterms:W3CDTF">2026-05-28T00:34:33Z</dcterms:modified>
</cp:coreProperties>
</file>