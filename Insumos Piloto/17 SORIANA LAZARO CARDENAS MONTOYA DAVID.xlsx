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u0WVAX7zmz9iTO3-3j_6qM13B4aavxkh\COMPROBACIONES\Gabriela Serrano\Montoya David\17 SORIANA LAZARO CARDENAS\"/>
    </mc:Choice>
  </mc:AlternateContent>
  <xr:revisionPtr revIDLastSave="0" documentId="8_{50F7BE86-C730-4BE6-9140-67D0287DBA5A}" xr6:coauthVersionLast="47" xr6:coauthVersionMax="47" xr10:uidLastSave="{00000000-0000-0000-0000-000000000000}"/>
  <bookViews>
    <workbookView xWindow="2420" yWindow="2420" windowWidth="8620" windowHeight="7260" xr2:uid="{1C2574D6-1F58-417E-A279-38CC9747E22D}"/>
  </bookViews>
  <sheets>
    <sheet name="17" sheetId="1" r:id="rId1"/>
  </sheets>
  <definedNames>
    <definedName name="_xlnm._FilterDatabase" localSheetId="0" hidden="1">'17'!$A$4:$P$4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2" i="1" l="1"/>
  <c r="K34" i="1"/>
  <c r="J34" i="1"/>
  <c r="I34" i="1"/>
  <c r="G34" i="1"/>
  <c r="M32" i="1"/>
  <c r="H31" i="1"/>
  <c r="M31" i="1" s="1"/>
  <c r="H30" i="1"/>
  <c r="M30" i="1" s="1"/>
  <c r="H29" i="1"/>
  <c r="M29" i="1" s="1"/>
  <c r="H28" i="1"/>
  <c r="M28" i="1" s="1"/>
  <c r="M27" i="1"/>
  <c r="H26" i="1"/>
  <c r="M26" i="1" s="1"/>
  <c r="H25" i="1"/>
  <c r="M25" i="1" s="1"/>
  <c r="H24" i="1"/>
  <c r="M24" i="1" s="1"/>
  <c r="M23" i="1"/>
  <c r="H22" i="1"/>
  <c r="M22" i="1" s="1"/>
  <c r="H21" i="1"/>
  <c r="M21" i="1" s="1"/>
  <c r="H20" i="1"/>
  <c r="M20" i="1" s="1"/>
  <c r="H19" i="1"/>
  <c r="M19" i="1" s="1"/>
  <c r="H18" i="1"/>
  <c r="M18" i="1" s="1"/>
  <c r="H17" i="1"/>
  <c r="M17" i="1" s="1"/>
  <c r="H16" i="1"/>
  <c r="M16" i="1" s="1"/>
  <c r="M15" i="1"/>
  <c r="H14" i="1"/>
  <c r="M14" i="1" s="1"/>
  <c r="H13" i="1"/>
  <c r="M13" i="1" s="1"/>
  <c r="H12" i="1"/>
  <c r="M12" i="1" s="1"/>
  <c r="H11" i="1"/>
  <c r="M11" i="1" s="1"/>
  <c r="H10" i="1"/>
  <c r="M10" i="1" s="1"/>
  <c r="H9" i="1"/>
  <c r="M9" i="1" s="1"/>
  <c r="M8" i="1"/>
  <c r="M7" i="1"/>
  <c r="H6" i="1"/>
  <c r="M5" i="1"/>
  <c r="H34" i="1" l="1"/>
  <c r="M6" i="1"/>
  <c r="M34" i="1" s="1"/>
</calcChain>
</file>

<file path=xl/sharedStrings.xml><?xml version="1.0" encoding="utf-8"?>
<sst xmlns="http://schemas.openxmlformats.org/spreadsheetml/2006/main" count="247" uniqueCount="107">
  <si>
    <t>COMPROBACION DE GASTOS MARVI CONFORT DE MEXICO 2026 DEL 01 DE JUNIO DE LA OBRA SORIANA LAZARO CARDENAS DE MONTOYA DAVID</t>
  </si>
  <si>
    <t>FECHA</t>
  </si>
  <si>
    <t>DEDUCIBLE</t>
  </si>
  <si>
    <t xml:space="preserve">FACTURA </t>
  </si>
  <si>
    <t xml:space="preserve">PROVEEDOR </t>
  </si>
  <si>
    <t xml:space="preserve">TRABAJADOR </t>
  </si>
  <si>
    <t xml:space="preserve">OBRA </t>
  </si>
  <si>
    <t>SUBTOTAL</t>
  </si>
  <si>
    <t xml:space="preserve">IVA </t>
  </si>
  <si>
    <t>RET IVA.</t>
  </si>
  <si>
    <t>RET ISR</t>
  </si>
  <si>
    <t>DESCUENTOS</t>
  </si>
  <si>
    <t>ISH</t>
  </si>
  <si>
    <t>TOTAL</t>
  </si>
  <si>
    <t>TIPO DE PAGO</t>
  </si>
  <si>
    <t>DESCRIPCION</t>
  </si>
  <si>
    <t>SI</t>
  </si>
  <si>
    <t>1afdca13-d40f-4447-be97-9fae4b1faf47</t>
  </si>
  <si>
    <t>RED DE CARRETERAS DE OCCIDENTE</t>
  </si>
  <si>
    <t>MONTOYA DAVID</t>
  </si>
  <si>
    <t>SORIANA LAZARO CARDENAS</t>
  </si>
  <si>
    <t>Efectivo</t>
  </si>
  <si>
    <t>PEJAE</t>
  </si>
  <si>
    <t>2DA9E3CC-53C4-11F1-8F73-696BE3F37217</t>
  </si>
  <si>
    <t>AUTOPISTA ARCO NORTE</t>
  </si>
  <si>
    <t>2F1E6746-9FCC-4B33-8439-0C2A1CC9FF3D</t>
  </si>
  <si>
    <t>INFRA</t>
  </si>
  <si>
    <t>Tarjeta de Debito</t>
  </si>
  <si>
    <t>DISCO 778 PLANO CORTE METAL 4 1/2"1 MM</t>
  </si>
  <si>
    <t>3A5AB344-245B-5BA6-9029-86F16864513F</t>
  </si>
  <si>
    <t>NOE BARRAGAN AREVALOS</t>
  </si>
  <si>
    <t>CONECT PVC HIDR. HEMBRA 1"</t>
  </si>
  <si>
    <t>5A95B8CA-44C2-59A3-9313-053CC0277623</t>
  </si>
  <si>
    <t>FONDO NACIONAL DE INFRAESTRUCTURA</t>
  </si>
  <si>
    <t>5DCCA59F-2EE0-4F34-9528-924C38C660C8</t>
  </si>
  <si>
    <t>ACEROS EL PLATEADO</t>
  </si>
  <si>
    <t>TUERCA UNION PVC HID 1" PVC-973 45437</t>
  </si>
  <si>
    <t>75E227B9-862C-47F2-B038-667D68AF7753</t>
  </si>
  <si>
    <t>FERREACEROS Y AGROEQUIPOS</t>
  </si>
  <si>
    <t>CODO 90 DE PVC DE 1, FOSET 45413</t>
  </si>
  <si>
    <t>79DA55D0-4D44-42AB-B9EB-A4207779EB15</t>
  </si>
  <si>
    <t>GERARDO MIGUEL VELAZQUEZ ZAMORA</t>
  </si>
  <si>
    <t>CABLE COBRE DESNUDO C-10 AWG</t>
  </si>
  <si>
    <t>92C69FAF-213A-43A7-9718-87484CE9F4DC</t>
  </si>
  <si>
    <t>LAMINA GALV LISA .91X3.05 3'X10' C-20</t>
  </si>
  <si>
    <t>294BD3FF-0765-4698-93CB-35E7F9BD4820</t>
  </si>
  <si>
    <t>CABLE THW C-6 600V NEGRO</t>
  </si>
  <si>
    <t>997c7483-157d-42ec-beb1-5f3bd39caabc</t>
  </si>
  <si>
    <t>TRAMO CARRETERO ATLACOMULCO-MARAVATIO</t>
  </si>
  <si>
    <t>28517f5b-dd89-4bdb-a026-b7842ba0111f</t>
  </si>
  <si>
    <t>95111C1F-F132-4CDD-AA29-B890E69EBB17</t>
  </si>
  <si>
    <t>CONCESIONARIA DE AUTOPISTAS DE MICHOACAN</t>
  </si>
  <si>
    <t>A2002E64-1647-4EAE-B629-629486186BBF</t>
  </si>
  <si>
    <t>TIENDAS SORIANA SA DE CV</t>
  </si>
  <si>
    <t>COLCHON INFLABLE INDIVIDUAL BE</t>
  </si>
  <si>
    <t>A6145D86-1DB7-4D22-8AE5-80FAD815B6B9</t>
  </si>
  <si>
    <t>BROCHA 4 PRECISSIMO PZA</t>
  </si>
  <si>
    <t>AB187EC3-47A8-4992-B28A-4D7449301282</t>
  </si>
  <si>
    <t>CODO PVC 1" X 90° HID PVC-563 45413</t>
  </si>
  <si>
    <t>AC24AEF5-AE77-4311-B3F3-5F383D4311CB</t>
  </si>
  <si>
    <t>BF56A672-EFC3-4509-9896-C80B987BAF3B</t>
  </si>
  <si>
    <t>SUMINISTRO PARA LA INDUSTRIA DE MEXICO</t>
  </si>
  <si>
    <t>PIJA HEXAGONAL PUNTA BROCA C/RONDANA</t>
  </si>
  <si>
    <t>C47616A0-468C-4794-9440-A5BF7ED7FF57</t>
  </si>
  <si>
    <t>CONCESIONARIA MEXIQUENSE</t>
  </si>
  <si>
    <t>CD3B6361-9972-4A3F-B306-5BCF40E30CFD</t>
  </si>
  <si>
    <t>KENNY ALVAREZ CARRANZA</t>
  </si>
  <si>
    <t>CINTA TEFLON 3/4 X 7MTS SURTEK</t>
  </si>
  <si>
    <t>CDC274C4-A084-457A-9A8D-9B9D2C51E38</t>
  </si>
  <si>
    <t>ESTRELLA DE ORO SA DE CV MEXICO-ACAPULCO-ZIHUATANEJO</t>
  </si>
  <si>
    <t>Tarjeta de crédito</t>
  </si>
  <si>
    <t>SERVICIO DE AUTOBUSES</t>
  </si>
  <si>
    <t>CFE4CC93-7EC1-4B9B-BE5A-2475CFDA07BD</t>
  </si>
  <si>
    <t>DESARROLLO GLOBAL DE CONCESIONES</t>
  </si>
  <si>
    <t>D86B7137-8400-551B-81D5-EE7CE598EBFE</t>
  </si>
  <si>
    <t>TUERCA UNION PVC HIDR. 1</t>
  </si>
  <si>
    <t>D823D544-4ABD-4176-A6D8-95AF55EFEF29</t>
  </si>
  <si>
    <t>CODO 90 DE PVC 1" FOSET 45413</t>
  </si>
  <si>
    <t>EB1C1568-F1D7-4DC8-9DFC-F6228588FB4A</t>
  </si>
  <si>
    <t>DISCO DE CORTE 4 1/2" X 1/16" (1.6MM) MCA</t>
  </si>
  <si>
    <t>FBADCB77-E828-40FC-9B3A-4B7DB60C4BA6</t>
  </si>
  <si>
    <t>RODILLO P/PINTAR MINI ROPI-410E 13903</t>
  </si>
  <si>
    <t>FC58019F-FF1A-4E34-98E3-865B523C3ADC</t>
  </si>
  <si>
    <t>TORNIBROCA 12X1"</t>
  </si>
  <si>
    <t>FE68AD4C-8105-4D29-A9A1-DA0D01418847</t>
  </si>
  <si>
    <t>TUERCA UNION LISA DE PVC 1, FOSET 45437</t>
  </si>
  <si>
    <t>GASTOS NO DEDUCIBLES</t>
  </si>
  <si>
    <t>NO</t>
  </si>
  <si>
    <t>FACTURA</t>
  </si>
  <si>
    <t>ALAMBRE (NO SE FACTURO A MARVI)</t>
  </si>
  <si>
    <t>GUANTES DE LATEX (NO SE FACTURO A MARVI)</t>
  </si>
  <si>
    <t>RCO0708136F7</t>
  </si>
  <si>
    <t>AAN051220835</t>
  </si>
  <si>
    <t>INF891031LT4</t>
  </si>
  <si>
    <t>BAAN8111106W7</t>
  </si>
  <si>
    <t>FNI970829JR9</t>
  </si>
  <si>
    <t>APL9506051U3</t>
  </si>
  <si>
    <t>FAG220606HU6</t>
  </si>
  <si>
    <t>VEZG5512097B8</t>
  </si>
  <si>
    <t>TCA870817BS2</t>
  </si>
  <si>
    <t>CAM120131RD7</t>
  </si>
  <si>
    <t>TSO991022PB6</t>
  </si>
  <si>
    <t>SIM071204EF9</t>
  </si>
  <si>
    <t>CME030219B64</t>
  </si>
  <si>
    <t>AACK83041657A</t>
  </si>
  <si>
    <t>EOM540618KL1</t>
  </si>
  <si>
    <t>DGC170313257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</si>
</sst>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_-;\-* #,##0.00_-;_-* &quot;-&quot;??_-;_-@"/>
    <numFmt numFmtId="165" formatCode="General_)"/>
    <numFmt numFmtId="166" formatCode="_-&quot;$&quot;* #,##0.00_-;\-&quot;$&quot;* #,##0.00_-;_-&quot;$&quot;* &quot;-&quot;??_-;_-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</font>
    <font>
      <b/>
      <sz val="11"/>
      <color theme="1"/>
      <name val="Aptos Narrow"/>
    </font>
    <font>
      <b/>
      <sz val="18"/>
      <color theme="1"/>
      <name val="Aptos Narrow"/>
      <family val="2"/>
    </font>
    <font>
      <sz val="11"/>
      <name val="Aptos Narrow"/>
    </font>
    <font>
      <b/>
      <sz val="12"/>
      <color theme="1"/>
      <name val="Play"/>
    </font>
    <font>
      <sz val="12"/>
      <color theme="1"/>
      <name val="Play"/>
    </font>
    <font>
      <sz val="12"/>
      <color theme="1"/>
      <name val="Calibri"/>
      <family val="2"/>
      <scheme val="minor"/>
    </font>
    <font>
      <sz val="12"/>
      <name val="Helv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ptos Narrow"/>
    </font>
    <font>
      <sz val="11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theme="1"/>
      <name val="Aptos Narrow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5" fontId="9" fillId="0" borderId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14" fontId="6" fillId="0" borderId="5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8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vertical="top"/>
    </xf>
    <xf numFmtId="14" fontId="10" fillId="0" borderId="0" xfId="2" applyNumberFormat="1" applyFont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44" fontId="12" fillId="0" borderId="0" xfId="1" applyFont="1" applyAlignment="1">
      <alignment horizontal="left"/>
    </xf>
    <xf numFmtId="44" fontId="12" fillId="0" borderId="0" xfId="1" applyFont="1" applyAlignment="1">
      <alignment horizontal="left" vertical="center"/>
    </xf>
    <xf numFmtId="44" fontId="12" fillId="0" borderId="0" xfId="1" applyFont="1" applyFill="1" applyBorder="1" applyAlignment="1">
      <alignment horizontal="left"/>
    </xf>
    <xf numFmtId="0" fontId="12" fillId="0" borderId="0" xfId="0" applyFont="1"/>
    <xf numFmtId="14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4" fillId="0" borderId="0" xfId="0" applyFont="1"/>
    <xf numFmtId="44" fontId="14" fillId="0" borderId="0" xfId="1" applyFont="1"/>
    <xf numFmtId="164" fontId="14" fillId="0" borderId="0" xfId="0" applyNumberFormat="1" applyFont="1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10" xfId="0" applyNumberFormat="1" applyFont="1" applyBorder="1"/>
    <xf numFmtId="0" fontId="15" fillId="0" borderId="0" xfId="0" applyFont="1" applyAlignment="1">
      <alignment horizontal="right"/>
    </xf>
    <xf numFmtId="43" fontId="16" fillId="0" borderId="0" xfId="0" applyNumberFormat="1" applyFont="1" applyAlignment="1">
      <alignment vertical="center"/>
    </xf>
    <xf numFmtId="44" fontId="0" fillId="0" borderId="0" xfId="1" applyFont="1"/>
    <xf numFmtId="43" fontId="0" fillId="0" borderId="0" xfId="0" applyNumberFormat="1"/>
    <xf numFmtId="43" fontId="2" fillId="0" borderId="0" xfId="0" applyNumberFormat="1" applyFont="1"/>
    <xf numFmtId="0" fontId="2" fillId="0" borderId="0" xfId="0" applyFont="1" applyAlignment="1">
      <alignment horizontal="center" vertical="center"/>
    </xf>
    <xf numFmtId="0" fontId="17" fillId="0" borderId="0" xfId="0" applyFont="1"/>
    <xf numFmtId="49" fontId="13" fillId="0" borderId="0" xfId="1" applyNumberFormat="1" applyFont="1"/>
    <xf numFmtId="44" fontId="12" fillId="0" borderId="0" xfId="1" applyFont="1"/>
    <xf numFmtId="14" fontId="2" fillId="0" borderId="0" xfId="0" applyNumberFormat="1" applyFont="1"/>
    <xf numFmtId="166" fontId="2" fillId="0" borderId="0" xfId="0" applyNumberFormat="1" applyFont="1"/>
    <xf numFmtId="49" fontId="2" fillId="0" borderId="0" xfId="0" applyNumberFormat="1" applyFont="1"/>
    <xf numFmtId="49" fontId="0" fillId="0" borderId="0" xfId="0" applyNumberFormat="1"/>
  </cellXfs>
  <cellStyles count="3">
    <cellStyle name="Moneda" xfId="1" builtinId="4"/>
    <cellStyle name="Normal" xfId="0" builtinId="0"/>
    <cellStyle name="Normal_REPGASTO" xfId="2" xr:uid="{5F6CA4D5-FF41-4269-AD98-C8474F5E72D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937A-EB24-4B96-84F5-F6EE6555AC6F}">
  <dimension ref="A1:R1008"/>
  <sheetViews>
    <sheetView tabSelected="1" zoomScale="84" zoomScaleNormal="84" workbookViewId="0">
      <selection activeCell="P5" sqref="P5:P32"/>
    </sheetView>
  </sheetViews>
  <sheetFormatPr baseColWidth="10" defaultColWidth="14" defaultRowHeight="15" customHeight="1"/>
  <cols>
    <col min="1" max="1" width="11.6328125" style="30" bestFit="1" customWidth="1"/>
    <col min="2" max="2" width="13.453125" customWidth="1"/>
    <col min="3" max="3" width="41.90625" customWidth="1"/>
    <col min="4" max="4" width="40.6328125" customWidth="1"/>
    <col min="5" max="5" width="21.08984375" bestFit="1" customWidth="1"/>
    <col min="6" max="6" width="27.08984375" customWidth="1"/>
    <col min="7" max="7" width="14.36328125" customWidth="1"/>
    <col min="8" max="8" width="11" bestFit="1" customWidth="1"/>
    <col min="9" max="9" width="11.6328125" customWidth="1"/>
    <col min="10" max="10" width="11" customWidth="1"/>
    <col min="11" max="11" width="17.90625" customWidth="1"/>
    <col min="12" max="12" width="10.453125" bestFit="1" customWidth="1"/>
    <col min="13" max="13" width="12.6328125" customWidth="1"/>
    <col min="14" max="14" width="16.36328125" style="45" customWidth="1"/>
    <col min="15" max="15" width="47.90625" customWidth="1"/>
    <col min="16" max="16" width="16.6328125" customWidth="1"/>
    <col min="17" max="26" width="11.6328125" customWidth="1"/>
  </cols>
  <sheetData>
    <row r="1" spans="1:18" ht="14.25" customHeight="1">
      <c r="A1"/>
      <c r="D1" s="1"/>
      <c r="N1" s="1"/>
    </row>
    <row r="2" spans="1:18" ht="14.25" customHeight="1" thickBot="1">
      <c r="A2"/>
      <c r="D2" s="1"/>
      <c r="N2" s="1"/>
    </row>
    <row r="3" spans="1:18" ht="25.25" customHeight="1" thickBot="1">
      <c r="A3" s="2"/>
      <c r="B3" s="3" t="s">
        <v>0</v>
      </c>
      <c r="C3" s="4"/>
      <c r="D3" s="4"/>
      <c r="E3" s="5"/>
      <c r="F3" s="5"/>
      <c r="G3" s="5"/>
      <c r="H3" s="5"/>
      <c r="I3" s="5"/>
      <c r="J3" s="5"/>
      <c r="K3" s="5"/>
      <c r="L3" s="5"/>
      <c r="M3" s="4"/>
      <c r="N3" s="5"/>
      <c r="O3" s="6"/>
    </row>
    <row r="4" spans="1:18" ht="14.25" customHeight="1" thickBot="1">
      <c r="A4" s="7" t="s">
        <v>1</v>
      </c>
      <c r="B4" s="8" t="s">
        <v>2</v>
      </c>
      <c r="C4" s="9" t="s">
        <v>3</v>
      </c>
      <c r="D4" s="9" t="s">
        <v>4</v>
      </c>
      <c r="E4" s="10" t="s">
        <v>5</v>
      </c>
      <c r="F4" s="11" t="s">
        <v>6</v>
      </c>
      <c r="G4" s="11" t="s">
        <v>7</v>
      </c>
      <c r="H4" s="11" t="s">
        <v>8</v>
      </c>
      <c r="I4" s="11" t="s">
        <v>9</v>
      </c>
      <c r="J4" s="12" t="s">
        <v>10</v>
      </c>
      <c r="K4" s="11" t="s">
        <v>11</v>
      </c>
      <c r="L4" s="12" t="s">
        <v>12</v>
      </c>
      <c r="M4" s="13" t="s">
        <v>13</v>
      </c>
      <c r="N4" s="8" t="s">
        <v>14</v>
      </c>
      <c r="O4" s="9" t="s">
        <v>15</v>
      </c>
      <c r="P4" s="14"/>
      <c r="Q4" s="15"/>
      <c r="R4" s="16"/>
    </row>
    <row r="5" spans="1:18" s="24" customFormat="1" ht="14.25" customHeight="1">
      <c r="A5" s="17">
        <v>46161</v>
      </c>
      <c r="B5" s="18" t="s">
        <v>16</v>
      </c>
      <c r="C5" s="19" t="s">
        <v>17</v>
      </c>
      <c r="D5" s="19" t="s">
        <v>18</v>
      </c>
      <c r="E5" s="20" t="s">
        <v>19</v>
      </c>
      <c r="F5" s="19" t="s">
        <v>20</v>
      </c>
      <c r="G5" s="21">
        <v>377.58</v>
      </c>
      <c r="H5" s="22">
        <v>60.42</v>
      </c>
      <c r="I5" s="21"/>
      <c r="J5" s="21"/>
      <c r="K5" s="21"/>
      <c r="L5" s="21"/>
      <c r="M5" s="23">
        <f t="shared" ref="M5:M32" si="0">G5+H5+L5-K5-I5-J5</f>
        <v>438</v>
      </c>
      <c r="N5" s="24" t="s">
        <v>21</v>
      </c>
      <c r="O5" t="s">
        <v>22</v>
      </c>
      <c r="P5" s="20" t="s">
        <v>91</v>
      </c>
    </row>
    <row r="6" spans="1:18" s="24" customFormat="1" ht="14.25" customHeight="1">
      <c r="A6" s="17">
        <v>46161</v>
      </c>
      <c r="B6" s="18" t="s">
        <v>16</v>
      </c>
      <c r="C6" s="19" t="s">
        <v>23</v>
      </c>
      <c r="D6" s="19" t="s">
        <v>24</v>
      </c>
      <c r="E6" s="20" t="s">
        <v>19</v>
      </c>
      <c r="F6" s="19" t="s">
        <v>20</v>
      </c>
      <c r="G6" s="21">
        <v>229.31</v>
      </c>
      <c r="H6" s="22">
        <f t="shared" ref="H6:H31" si="1">+(G6-K6)*0.16</f>
        <v>36.689599999999999</v>
      </c>
      <c r="I6" s="21"/>
      <c r="J6" s="21"/>
      <c r="K6" s="21"/>
      <c r="L6" s="21"/>
      <c r="M6" s="23">
        <f t="shared" si="0"/>
        <v>265.99959999999999</v>
      </c>
      <c r="N6" s="24" t="s">
        <v>21</v>
      </c>
      <c r="O6" t="s">
        <v>22</v>
      </c>
      <c r="P6" s="20" t="s">
        <v>92</v>
      </c>
    </row>
    <row r="7" spans="1:18" s="24" customFormat="1" ht="14.25" customHeight="1">
      <c r="A7" s="17">
        <v>46156</v>
      </c>
      <c r="B7" s="18" t="s">
        <v>16</v>
      </c>
      <c r="C7" s="19" t="s">
        <v>25</v>
      </c>
      <c r="D7" s="19" t="s">
        <v>26</v>
      </c>
      <c r="E7" s="20" t="s">
        <v>19</v>
      </c>
      <c r="F7" s="19" t="s">
        <v>20</v>
      </c>
      <c r="G7" s="21">
        <v>635.72</v>
      </c>
      <c r="H7" s="22">
        <v>101.71</v>
      </c>
      <c r="I7" s="21"/>
      <c r="J7" s="21"/>
      <c r="K7" s="21"/>
      <c r="L7" s="21"/>
      <c r="M7" s="23">
        <f t="shared" si="0"/>
        <v>737.43000000000006</v>
      </c>
      <c r="N7" s="24" t="s">
        <v>27</v>
      </c>
      <c r="O7" t="s">
        <v>28</v>
      </c>
      <c r="P7" s="20" t="s">
        <v>93</v>
      </c>
    </row>
    <row r="8" spans="1:18" s="24" customFormat="1" ht="14.25" customHeight="1">
      <c r="A8" s="17">
        <v>46169</v>
      </c>
      <c r="B8" s="18" t="s">
        <v>16</v>
      </c>
      <c r="C8" s="19" t="s">
        <v>29</v>
      </c>
      <c r="D8" s="19" t="s">
        <v>30</v>
      </c>
      <c r="E8" s="20" t="s">
        <v>19</v>
      </c>
      <c r="F8" s="19" t="s">
        <v>20</v>
      </c>
      <c r="G8" s="21">
        <v>776.73</v>
      </c>
      <c r="H8" s="22">
        <v>124.27</v>
      </c>
      <c r="I8" s="21"/>
      <c r="J8" s="21"/>
      <c r="K8" s="21"/>
      <c r="L8" s="21"/>
      <c r="M8" s="23">
        <f t="shared" si="0"/>
        <v>901</v>
      </c>
      <c r="N8" s="24" t="s">
        <v>27</v>
      </c>
      <c r="O8" t="s">
        <v>31</v>
      </c>
      <c r="P8" s="20" t="s">
        <v>94</v>
      </c>
    </row>
    <row r="9" spans="1:18" s="24" customFormat="1" ht="14.25" customHeight="1">
      <c r="A9" s="17">
        <v>46161</v>
      </c>
      <c r="B9" s="18" t="s">
        <v>16</v>
      </c>
      <c r="C9" s="19" t="s">
        <v>32</v>
      </c>
      <c r="D9" s="19" t="s">
        <v>33</v>
      </c>
      <c r="E9" s="20" t="s">
        <v>19</v>
      </c>
      <c r="F9" s="19" t="s">
        <v>20</v>
      </c>
      <c r="G9" s="21">
        <v>97.41</v>
      </c>
      <c r="H9" s="22">
        <f t="shared" si="1"/>
        <v>15.585599999999999</v>
      </c>
      <c r="I9" s="21"/>
      <c r="J9" s="21"/>
      <c r="K9" s="21"/>
      <c r="L9" s="21"/>
      <c r="M9" s="23">
        <f t="shared" si="0"/>
        <v>112.9956</v>
      </c>
      <c r="N9" s="24" t="s">
        <v>21</v>
      </c>
      <c r="O9" t="s">
        <v>22</v>
      </c>
      <c r="P9" s="20" t="s">
        <v>95</v>
      </c>
    </row>
    <row r="10" spans="1:18" s="24" customFormat="1" ht="14.25" customHeight="1">
      <c r="A10" s="17">
        <v>46154</v>
      </c>
      <c r="B10" s="18" t="s">
        <v>16</v>
      </c>
      <c r="C10" s="19" t="s">
        <v>34</v>
      </c>
      <c r="D10" s="19" t="s">
        <v>35</v>
      </c>
      <c r="E10" s="20" t="s">
        <v>19</v>
      </c>
      <c r="F10" s="19" t="s">
        <v>20</v>
      </c>
      <c r="G10" s="21">
        <v>440.52</v>
      </c>
      <c r="H10" s="22">
        <f t="shared" si="1"/>
        <v>70.483199999999997</v>
      </c>
      <c r="I10" s="21"/>
      <c r="J10" s="21"/>
      <c r="K10" s="21"/>
      <c r="L10" s="21"/>
      <c r="M10" s="23">
        <f t="shared" si="0"/>
        <v>511.00319999999999</v>
      </c>
      <c r="N10" s="24" t="s">
        <v>21</v>
      </c>
      <c r="O10" t="s">
        <v>36</v>
      </c>
      <c r="P10" s="20" t="s">
        <v>96</v>
      </c>
    </row>
    <row r="11" spans="1:18" s="24" customFormat="1" ht="14.25" customHeight="1">
      <c r="A11" s="17">
        <v>46151</v>
      </c>
      <c r="B11" s="18" t="s">
        <v>16</v>
      </c>
      <c r="C11" s="19" t="s">
        <v>37</v>
      </c>
      <c r="D11" s="19" t="s">
        <v>38</v>
      </c>
      <c r="E11" s="20" t="s">
        <v>19</v>
      </c>
      <c r="F11" s="19" t="s">
        <v>20</v>
      </c>
      <c r="G11" s="21">
        <v>89.62</v>
      </c>
      <c r="H11" s="22">
        <f t="shared" si="1"/>
        <v>14.339200000000002</v>
      </c>
      <c r="I11" s="21"/>
      <c r="J11" s="21"/>
      <c r="K11" s="21"/>
      <c r="L11" s="21"/>
      <c r="M11" s="23">
        <f t="shared" si="0"/>
        <v>103.95920000000001</v>
      </c>
      <c r="N11" s="24" t="s">
        <v>21</v>
      </c>
      <c r="O11" t="s">
        <v>39</v>
      </c>
      <c r="P11" s="20" t="s">
        <v>97</v>
      </c>
    </row>
    <row r="12" spans="1:18" s="24" customFormat="1" ht="14.25" customHeight="1">
      <c r="A12" s="17">
        <v>46154</v>
      </c>
      <c r="B12" s="18" t="s">
        <v>16</v>
      </c>
      <c r="C12" s="19" t="s">
        <v>40</v>
      </c>
      <c r="D12" s="19" t="s">
        <v>41</v>
      </c>
      <c r="E12" s="20" t="s">
        <v>19</v>
      </c>
      <c r="F12" s="19" t="s">
        <v>20</v>
      </c>
      <c r="G12" s="21">
        <v>297.76</v>
      </c>
      <c r="H12" s="22">
        <f t="shared" si="1"/>
        <v>47.641599999999997</v>
      </c>
      <c r="I12" s="21"/>
      <c r="J12" s="21"/>
      <c r="K12" s="21"/>
      <c r="L12" s="21"/>
      <c r="M12" s="23">
        <f t="shared" si="0"/>
        <v>345.40159999999997</v>
      </c>
      <c r="N12" s="24" t="s">
        <v>27</v>
      </c>
      <c r="O12" t="s">
        <v>42</v>
      </c>
      <c r="P12" s="20" t="s">
        <v>98</v>
      </c>
    </row>
    <row r="13" spans="1:18" s="24" customFormat="1" ht="14.25" customHeight="1">
      <c r="A13" s="17">
        <v>46153</v>
      </c>
      <c r="B13" s="18" t="s">
        <v>16</v>
      </c>
      <c r="C13" s="19" t="s">
        <v>43</v>
      </c>
      <c r="D13" s="19" t="s">
        <v>35</v>
      </c>
      <c r="E13" s="20" t="s">
        <v>19</v>
      </c>
      <c r="F13" s="19" t="s">
        <v>20</v>
      </c>
      <c r="G13" s="21">
        <v>1268.1400000000001</v>
      </c>
      <c r="H13" s="22">
        <f t="shared" si="1"/>
        <v>202.90240000000003</v>
      </c>
      <c r="I13" s="21"/>
      <c r="J13" s="21"/>
      <c r="K13" s="21"/>
      <c r="L13" s="21"/>
      <c r="M13" s="23">
        <f t="shared" si="0"/>
        <v>1471.0424</v>
      </c>
      <c r="N13" s="24" t="s">
        <v>27</v>
      </c>
      <c r="O13" t="s">
        <v>44</v>
      </c>
      <c r="P13" s="20" t="s">
        <v>96</v>
      </c>
    </row>
    <row r="14" spans="1:18" s="24" customFormat="1" ht="14.25" customHeight="1">
      <c r="A14" s="17">
        <v>46151</v>
      </c>
      <c r="B14" s="18" t="s">
        <v>16</v>
      </c>
      <c r="C14" s="19" t="s">
        <v>45</v>
      </c>
      <c r="D14" s="19" t="s">
        <v>41</v>
      </c>
      <c r="E14" s="20" t="s">
        <v>19</v>
      </c>
      <c r="F14" s="19" t="s">
        <v>20</v>
      </c>
      <c r="G14" s="21">
        <v>1115.4000000000001</v>
      </c>
      <c r="H14" s="22">
        <f t="shared" si="1"/>
        <v>178.46400000000003</v>
      </c>
      <c r="I14" s="21"/>
      <c r="J14" s="21"/>
      <c r="K14" s="21"/>
      <c r="L14" s="21"/>
      <c r="M14" s="23">
        <f t="shared" si="0"/>
        <v>1293.864</v>
      </c>
      <c r="N14" s="24" t="s">
        <v>27</v>
      </c>
      <c r="O14" t="s">
        <v>46</v>
      </c>
      <c r="P14" s="20" t="s">
        <v>98</v>
      </c>
    </row>
    <row r="15" spans="1:18" s="24" customFormat="1" ht="14.25" customHeight="1">
      <c r="A15" s="17">
        <v>46161</v>
      </c>
      <c r="B15" s="18" t="s">
        <v>16</v>
      </c>
      <c r="C15" s="19" t="s">
        <v>47</v>
      </c>
      <c r="D15" s="19" t="s">
        <v>48</v>
      </c>
      <c r="E15" s="20" t="s">
        <v>19</v>
      </c>
      <c r="F15" s="19" t="s">
        <v>20</v>
      </c>
      <c r="G15" s="21">
        <v>178.44</v>
      </c>
      <c r="H15" s="22">
        <v>28.56</v>
      </c>
      <c r="I15" s="21"/>
      <c r="J15" s="21"/>
      <c r="K15" s="21"/>
      <c r="L15" s="21"/>
      <c r="M15" s="23">
        <f t="shared" si="0"/>
        <v>207</v>
      </c>
      <c r="N15" s="24" t="s">
        <v>21</v>
      </c>
      <c r="O15" t="s">
        <v>22</v>
      </c>
      <c r="P15" s="20" t="s">
        <v>99</v>
      </c>
    </row>
    <row r="16" spans="1:18" s="24" customFormat="1" ht="14.25" customHeight="1">
      <c r="A16" s="17">
        <v>46161</v>
      </c>
      <c r="B16" s="18" t="s">
        <v>16</v>
      </c>
      <c r="C16" s="19" t="s">
        <v>49</v>
      </c>
      <c r="D16" s="19" t="s">
        <v>48</v>
      </c>
      <c r="E16" s="20" t="s">
        <v>19</v>
      </c>
      <c r="F16" s="19" t="s">
        <v>20</v>
      </c>
      <c r="G16" s="21">
        <v>59.48</v>
      </c>
      <c r="H16" s="22">
        <f t="shared" si="1"/>
        <v>9.5167999999999999</v>
      </c>
      <c r="I16" s="21"/>
      <c r="J16" s="21"/>
      <c r="K16" s="21"/>
      <c r="L16" s="21"/>
      <c r="M16" s="23">
        <f>G16+H16+L16-K16-I16-J16</f>
        <v>68.996799999999993</v>
      </c>
      <c r="N16" s="24" t="s">
        <v>21</v>
      </c>
      <c r="O16" t="s">
        <v>22</v>
      </c>
      <c r="P16" s="20" t="s">
        <v>99</v>
      </c>
    </row>
    <row r="17" spans="1:16" s="24" customFormat="1" ht="14.25" customHeight="1">
      <c r="A17" s="17">
        <v>46161</v>
      </c>
      <c r="B17" s="18" t="s">
        <v>16</v>
      </c>
      <c r="C17" s="19" t="s">
        <v>50</v>
      </c>
      <c r="D17" s="19" t="s">
        <v>51</v>
      </c>
      <c r="E17" s="20" t="s">
        <v>19</v>
      </c>
      <c r="F17" s="19" t="s">
        <v>20</v>
      </c>
      <c r="G17" s="21">
        <v>1429.31</v>
      </c>
      <c r="H17" s="22">
        <f t="shared" si="1"/>
        <v>228.68959999999998</v>
      </c>
      <c r="I17" s="21"/>
      <c r="J17" s="21"/>
      <c r="K17" s="21"/>
      <c r="L17" s="21"/>
      <c r="M17" s="23">
        <f t="shared" si="0"/>
        <v>1657.9995999999999</v>
      </c>
      <c r="N17" s="24" t="s">
        <v>21</v>
      </c>
      <c r="O17" t="s">
        <v>22</v>
      </c>
      <c r="P17" s="20" t="s">
        <v>100</v>
      </c>
    </row>
    <row r="18" spans="1:16" s="24" customFormat="1" ht="14.25" customHeight="1">
      <c r="A18" s="17">
        <v>46168</v>
      </c>
      <c r="B18" s="18" t="s">
        <v>16</v>
      </c>
      <c r="C18" s="19" t="s">
        <v>52</v>
      </c>
      <c r="D18" s="19" t="s">
        <v>53</v>
      </c>
      <c r="E18" s="20" t="s">
        <v>19</v>
      </c>
      <c r="F18" s="19" t="s">
        <v>20</v>
      </c>
      <c r="G18" s="21">
        <v>171.55</v>
      </c>
      <c r="H18" s="22">
        <f t="shared" si="1"/>
        <v>27.448000000000004</v>
      </c>
      <c r="I18" s="21"/>
      <c r="J18" s="21"/>
      <c r="K18" s="21"/>
      <c r="L18" s="21"/>
      <c r="M18" s="23">
        <f t="shared" si="0"/>
        <v>198.99800000000002</v>
      </c>
      <c r="N18" s="24" t="s">
        <v>21</v>
      </c>
      <c r="O18" t="s">
        <v>54</v>
      </c>
      <c r="P18" s="20" t="s">
        <v>101</v>
      </c>
    </row>
    <row r="19" spans="1:16" s="24" customFormat="1" ht="14.25" customHeight="1">
      <c r="A19" s="17">
        <v>46168</v>
      </c>
      <c r="B19" s="18" t="s">
        <v>16</v>
      </c>
      <c r="C19" s="19" t="s">
        <v>55</v>
      </c>
      <c r="D19" s="19" t="s">
        <v>53</v>
      </c>
      <c r="E19" s="20" t="s">
        <v>19</v>
      </c>
      <c r="F19" s="19" t="s">
        <v>20</v>
      </c>
      <c r="G19" s="21">
        <v>68.790000000000006</v>
      </c>
      <c r="H19" s="22">
        <f t="shared" si="1"/>
        <v>11.006400000000001</v>
      </c>
      <c r="I19" s="21"/>
      <c r="J19" s="21"/>
      <c r="K19" s="21"/>
      <c r="L19" s="21"/>
      <c r="M19" s="23">
        <f t="shared" si="0"/>
        <v>79.796400000000006</v>
      </c>
      <c r="N19" s="24" t="s">
        <v>21</v>
      </c>
      <c r="O19" t="s">
        <v>56</v>
      </c>
      <c r="P19" s="20" t="s">
        <v>101</v>
      </c>
    </row>
    <row r="20" spans="1:16" s="24" customFormat="1" ht="14.25" customHeight="1">
      <c r="A20" s="17">
        <v>46170</v>
      </c>
      <c r="B20" s="18" t="s">
        <v>16</v>
      </c>
      <c r="C20" s="19" t="s">
        <v>57</v>
      </c>
      <c r="D20" s="19" t="s">
        <v>35</v>
      </c>
      <c r="E20" s="20" t="s">
        <v>19</v>
      </c>
      <c r="F20" s="19" t="s">
        <v>20</v>
      </c>
      <c r="G20" s="21">
        <v>86.21</v>
      </c>
      <c r="H20" s="22">
        <f t="shared" si="1"/>
        <v>13.7936</v>
      </c>
      <c r="I20" s="21"/>
      <c r="J20" s="21"/>
      <c r="K20" s="21"/>
      <c r="L20" s="21"/>
      <c r="M20" s="23">
        <f t="shared" si="0"/>
        <v>100.00359999999999</v>
      </c>
      <c r="N20" s="24" t="s">
        <v>27</v>
      </c>
      <c r="O20" t="s">
        <v>58</v>
      </c>
      <c r="P20" s="20" t="s">
        <v>96</v>
      </c>
    </row>
    <row r="21" spans="1:16" s="24" customFormat="1" ht="14.25" customHeight="1">
      <c r="A21" s="17">
        <v>46170</v>
      </c>
      <c r="B21" s="18" t="s">
        <v>16</v>
      </c>
      <c r="C21" s="19" t="s">
        <v>59</v>
      </c>
      <c r="D21" s="19" t="s">
        <v>35</v>
      </c>
      <c r="E21" s="20" t="s">
        <v>19</v>
      </c>
      <c r="F21" s="19" t="s">
        <v>20</v>
      </c>
      <c r="G21" s="21">
        <v>369.83</v>
      </c>
      <c r="H21" s="22">
        <f t="shared" si="1"/>
        <v>59.172799999999995</v>
      </c>
      <c r="I21" s="21"/>
      <c r="J21" s="21"/>
      <c r="K21" s="21"/>
      <c r="L21" s="21"/>
      <c r="M21" s="23">
        <f t="shared" si="0"/>
        <v>429.00279999999998</v>
      </c>
      <c r="N21" s="24" t="s">
        <v>27</v>
      </c>
      <c r="O21" t="s">
        <v>36</v>
      </c>
      <c r="P21" s="20" t="s">
        <v>96</v>
      </c>
    </row>
    <row r="22" spans="1:16" s="24" customFormat="1" ht="14.25" customHeight="1">
      <c r="A22" s="17">
        <v>46167</v>
      </c>
      <c r="B22" s="18" t="s">
        <v>16</v>
      </c>
      <c r="C22" s="19" t="s">
        <v>60</v>
      </c>
      <c r="D22" s="19" t="s">
        <v>61</v>
      </c>
      <c r="E22" s="20" t="s">
        <v>19</v>
      </c>
      <c r="F22" s="19" t="s">
        <v>20</v>
      </c>
      <c r="G22" s="21">
        <v>258.62</v>
      </c>
      <c r="H22" s="22">
        <f t="shared" si="1"/>
        <v>41.379200000000004</v>
      </c>
      <c r="I22" s="21"/>
      <c r="J22" s="21"/>
      <c r="K22" s="21"/>
      <c r="L22" s="21"/>
      <c r="M22" s="23">
        <f t="shared" si="0"/>
        <v>299.99920000000003</v>
      </c>
      <c r="N22" s="24" t="s">
        <v>27</v>
      </c>
      <c r="O22" t="s">
        <v>62</v>
      </c>
      <c r="P22" s="20" t="s">
        <v>102</v>
      </c>
    </row>
    <row r="23" spans="1:16" s="24" customFormat="1" ht="14.25" customHeight="1">
      <c r="A23" s="17">
        <v>46161</v>
      </c>
      <c r="B23" s="18" t="s">
        <v>16</v>
      </c>
      <c r="C23" s="19" t="s">
        <v>63</v>
      </c>
      <c r="D23" s="19" t="s">
        <v>64</v>
      </c>
      <c r="E23" s="20" t="s">
        <v>19</v>
      </c>
      <c r="F23" s="19" t="s">
        <v>20</v>
      </c>
      <c r="G23" s="21">
        <v>305.18</v>
      </c>
      <c r="H23" s="22">
        <v>48.82</v>
      </c>
      <c r="I23" s="21"/>
      <c r="J23" s="21"/>
      <c r="K23" s="21"/>
      <c r="L23" s="21"/>
      <c r="M23" s="23">
        <f t="shared" si="0"/>
        <v>354</v>
      </c>
      <c r="N23" s="24" t="s">
        <v>21</v>
      </c>
      <c r="O23" t="s">
        <v>22</v>
      </c>
      <c r="P23" s="20" t="s">
        <v>103</v>
      </c>
    </row>
    <row r="24" spans="1:16" s="24" customFormat="1" ht="14.25" customHeight="1">
      <c r="A24" s="17">
        <v>46169</v>
      </c>
      <c r="B24" s="18" t="s">
        <v>16</v>
      </c>
      <c r="C24" s="19" t="s">
        <v>65</v>
      </c>
      <c r="D24" s="19" t="s">
        <v>66</v>
      </c>
      <c r="E24" s="20" t="s">
        <v>19</v>
      </c>
      <c r="F24" s="19" t="s">
        <v>20</v>
      </c>
      <c r="G24" s="21">
        <v>130.16999999999999</v>
      </c>
      <c r="H24" s="22">
        <f t="shared" si="1"/>
        <v>20.827199999999998</v>
      </c>
      <c r="I24" s="21"/>
      <c r="J24" s="21"/>
      <c r="K24" s="21"/>
      <c r="L24" s="21"/>
      <c r="M24" s="23">
        <f t="shared" si="0"/>
        <v>150.99719999999999</v>
      </c>
      <c r="N24" s="24" t="s">
        <v>21</v>
      </c>
      <c r="O24" t="s">
        <v>67</v>
      </c>
      <c r="P24" s="20" t="s">
        <v>104</v>
      </c>
    </row>
    <row r="25" spans="1:16" s="24" customFormat="1" ht="14.25" customHeight="1">
      <c r="A25" s="17">
        <v>46168</v>
      </c>
      <c r="B25" s="18" t="s">
        <v>16</v>
      </c>
      <c r="C25" s="19" t="s">
        <v>68</v>
      </c>
      <c r="D25" s="19" t="s">
        <v>69</v>
      </c>
      <c r="E25" s="20" t="s">
        <v>19</v>
      </c>
      <c r="F25" s="19" t="s">
        <v>20</v>
      </c>
      <c r="G25" s="21">
        <v>1143.0999999999999</v>
      </c>
      <c r="H25" s="22">
        <f t="shared" si="1"/>
        <v>182.89599999999999</v>
      </c>
      <c r="I25" s="21"/>
      <c r="J25" s="21"/>
      <c r="K25" s="21"/>
      <c r="L25" s="21"/>
      <c r="M25" s="23">
        <f t="shared" si="0"/>
        <v>1325.9959999999999</v>
      </c>
      <c r="N25" t="s">
        <v>70</v>
      </c>
      <c r="O25" t="s">
        <v>71</v>
      </c>
      <c r="P25" s="20" t="s">
        <v>105</v>
      </c>
    </row>
    <row r="26" spans="1:16" s="24" customFormat="1" ht="14.25" customHeight="1">
      <c r="A26" s="17">
        <v>46161</v>
      </c>
      <c r="B26" s="18" t="s">
        <v>16</v>
      </c>
      <c r="C26" s="19" t="s">
        <v>72</v>
      </c>
      <c r="D26" s="19" t="s">
        <v>73</v>
      </c>
      <c r="E26" s="20" t="s">
        <v>19</v>
      </c>
      <c r="F26" s="19" t="s">
        <v>20</v>
      </c>
      <c r="G26" s="21">
        <v>54.31</v>
      </c>
      <c r="H26" s="22">
        <f t="shared" si="1"/>
        <v>8.6896000000000004</v>
      </c>
      <c r="I26" s="21"/>
      <c r="J26" s="21"/>
      <c r="K26" s="21"/>
      <c r="L26" s="21"/>
      <c r="M26" s="23">
        <f t="shared" si="0"/>
        <v>62.999600000000001</v>
      </c>
      <c r="N26" s="24" t="s">
        <v>21</v>
      </c>
      <c r="O26" t="s">
        <v>22</v>
      </c>
      <c r="P26" s="20" t="s">
        <v>106</v>
      </c>
    </row>
    <row r="27" spans="1:16" s="24" customFormat="1" ht="14.25" customHeight="1">
      <c r="A27" s="17">
        <v>46170</v>
      </c>
      <c r="B27" s="18" t="s">
        <v>16</v>
      </c>
      <c r="C27" s="19" t="s">
        <v>74</v>
      </c>
      <c r="D27" s="19" t="s">
        <v>30</v>
      </c>
      <c r="E27" s="20" t="s">
        <v>19</v>
      </c>
      <c r="F27" s="19" t="s">
        <v>20</v>
      </c>
      <c r="G27" s="21">
        <v>319.82</v>
      </c>
      <c r="H27" s="22">
        <v>51.18</v>
      </c>
      <c r="I27" s="21"/>
      <c r="J27" s="21"/>
      <c r="K27" s="21"/>
      <c r="L27" s="21"/>
      <c r="M27" s="23">
        <f t="shared" si="0"/>
        <v>371</v>
      </c>
      <c r="N27" s="24" t="s">
        <v>27</v>
      </c>
      <c r="O27" t="s">
        <v>75</v>
      </c>
      <c r="P27" s="20" t="s">
        <v>94</v>
      </c>
    </row>
    <row r="28" spans="1:16" s="24" customFormat="1" ht="14.25" customHeight="1">
      <c r="A28" s="17">
        <v>46170</v>
      </c>
      <c r="B28" s="18" t="s">
        <v>16</v>
      </c>
      <c r="C28" s="19" t="s">
        <v>76</v>
      </c>
      <c r="D28" s="19" t="s">
        <v>61</v>
      </c>
      <c r="E28" s="20" t="s">
        <v>19</v>
      </c>
      <c r="F28" s="19" t="s">
        <v>20</v>
      </c>
      <c r="G28" s="21">
        <v>848.28</v>
      </c>
      <c r="H28" s="22">
        <f t="shared" si="1"/>
        <v>135.72479999999999</v>
      </c>
      <c r="I28" s="21"/>
      <c r="J28" s="21"/>
      <c r="K28" s="21"/>
      <c r="L28" s="21"/>
      <c r="M28" s="23">
        <f t="shared" si="0"/>
        <v>984.00479999999993</v>
      </c>
      <c r="N28" s="24" t="s">
        <v>27</v>
      </c>
      <c r="O28" t="s">
        <v>77</v>
      </c>
      <c r="P28" s="20" t="s">
        <v>102</v>
      </c>
    </row>
    <row r="29" spans="1:16" s="24" customFormat="1" ht="14.25" customHeight="1">
      <c r="A29" s="17">
        <v>46165</v>
      </c>
      <c r="B29" s="18" t="s">
        <v>16</v>
      </c>
      <c r="C29" s="19" t="s">
        <v>78</v>
      </c>
      <c r="D29" s="19" t="s">
        <v>61</v>
      </c>
      <c r="E29" s="20" t="s">
        <v>19</v>
      </c>
      <c r="F29" s="19" t="s">
        <v>20</v>
      </c>
      <c r="G29" s="21">
        <v>831.9</v>
      </c>
      <c r="H29" s="22">
        <f t="shared" si="1"/>
        <v>133.10399999999998</v>
      </c>
      <c r="I29" s="21"/>
      <c r="J29" s="21"/>
      <c r="K29" s="21"/>
      <c r="L29" s="21"/>
      <c r="M29" s="23">
        <f t="shared" si="0"/>
        <v>965.00399999999991</v>
      </c>
      <c r="N29" s="24" t="s">
        <v>27</v>
      </c>
      <c r="O29" t="s">
        <v>79</v>
      </c>
      <c r="P29" s="20" t="s">
        <v>102</v>
      </c>
    </row>
    <row r="30" spans="1:16" s="24" customFormat="1" ht="14.25" customHeight="1">
      <c r="A30" s="17">
        <v>46153</v>
      </c>
      <c r="B30" s="18" t="s">
        <v>16</v>
      </c>
      <c r="C30" s="19" t="s">
        <v>80</v>
      </c>
      <c r="D30" s="19" t="s">
        <v>35</v>
      </c>
      <c r="E30" s="20" t="s">
        <v>19</v>
      </c>
      <c r="F30" s="19" t="s">
        <v>20</v>
      </c>
      <c r="G30" s="21">
        <v>228.02</v>
      </c>
      <c r="H30" s="22">
        <f t="shared" si="1"/>
        <v>36.483200000000004</v>
      </c>
      <c r="I30" s="21"/>
      <c r="J30" s="21"/>
      <c r="K30" s="21"/>
      <c r="L30" s="21"/>
      <c r="M30" s="23">
        <f t="shared" si="0"/>
        <v>264.50319999999999</v>
      </c>
      <c r="N30" s="24" t="s">
        <v>27</v>
      </c>
      <c r="O30" t="s">
        <v>81</v>
      </c>
      <c r="P30" s="20" t="s">
        <v>96</v>
      </c>
    </row>
    <row r="31" spans="1:16" s="24" customFormat="1" ht="14.25" customHeight="1">
      <c r="A31" s="17">
        <v>46168</v>
      </c>
      <c r="B31" s="18" t="s">
        <v>16</v>
      </c>
      <c r="C31" s="19" t="s">
        <v>82</v>
      </c>
      <c r="D31" s="19" t="s">
        <v>66</v>
      </c>
      <c r="E31" s="20" t="s">
        <v>19</v>
      </c>
      <c r="F31" s="19" t="s">
        <v>20</v>
      </c>
      <c r="G31" s="21">
        <v>258.60000000000002</v>
      </c>
      <c r="H31" s="22">
        <f t="shared" si="1"/>
        <v>41.376000000000005</v>
      </c>
      <c r="I31" s="21"/>
      <c r="J31" s="21"/>
      <c r="K31" s="21"/>
      <c r="L31" s="21"/>
      <c r="M31" s="23">
        <f t="shared" si="0"/>
        <v>299.976</v>
      </c>
      <c r="N31" s="24" t="s">
        <v>27</v>
      </c>
      <c r="O31" t="s">
        <v>83</v>
      </c>
      <c r="P31" s="20" t="s">
        <v>104</v>
      </c>
    </row>
    <row r="32" spans="1:16" s="24" customFormat="1" ht="14.25" customHeight="1">
      <c r="A32" s="17">
        <v>46154</v>
      </c>
      <c r="B32" s="18" t="s">
        <v>16</v>
      </c>
      <c r="C32" s="19" t="s">
        <v>84</v>
      </c>
      <c r="D32" s="19" t="s">
        <v>38</v>
      </c>
      <c r="E32" s="20" t="s">
        <v>19</v>
      </c>
      <c r="F32" s="19" t="s">
        <v>20</v>
      </c>
      <c r="G32" s="21">
        <v>456.33</v>
      </c>
      <c r="H32" s="22">
        <v>73.02</v>
      </c>
      <c r="I32" s="21"/>
      <c r="J32" s="21"/>
      <c r="K32" s="21"/>
      <c r="L32" s="21"/>
      <c r="M32" s="23">
        <f t="shared" si="0"/>
        <v>529.35</v>
      </c>
      <c r="N32" s="24" t="s">
        <v>27</v>
      </c>
      <c r="O32" t="s">
        <v>85</v>
      </c>
      <c r="P32" s="20" t="s">
        <v>97</v>
      </c>
    </row>
    <row r="33" spans="1:16" ht="14.25" customHeight="1">
      <c r="A33" s="25"/>
      <c r="B33" s="26"/>
      <c r="C33" s="27"/>
      <c r="D33" s="27"/>
      <c r="E33" s="27"/>
      <c r="F33" s="20"/>
      <c r="G33" s="28"/>
      <c r="H33" s="28"/>
      <c r="I33" s="29"/>
      <c r="J33" s="29"/>
      <c r="K33" s="29"/>
      <c r="L33" s="29"/>
      <c r="M33" s="28"/>
      <c r="N33" s="27"/>
      <c r="O33" s="27"/>
      <c r="P33" s="19"/>
    </row>
    <row r="34" spans="1:16" ht="14.25" customHeight="1" thickBot="1">
      <c r="D34" s="31"/>
      <c r="G34" s="32">
        <f>SUM(G5:G33)</f>
        <v>12526.130000000001</v>
      </c>
      <c r="H34" s="32">
        <f>+SUM(H5:H33)</f>
        <v>2004.1927999999998</v>
      </c>
      <c r="I34" s="32">
        <f>SUM(I5:I33)</f>
        <v>0</v>
      </c>
      <c r="J34" s="32">
        <f>SUM(J5:J33)</f>
        <v>0</v>
      </c>
      <c r="K34" s="32">
        <f>SUM(K5:K33)</f>
        <v>0</v>
      </c>
      <c r="L34" s="32"/>
      <c r="M34" s="32">
        <f>SUM(M5:M32)</f>
        <v>14530.322799999998</v>
      </c>
      <c r="N34" s="1"/>
      <c r="P34" s="19"/>
    </row>
    <row r="35" spans="1:16" ht="14.25" customHeight="1" thickTop="1">
      <c r="D35" s="31"/>
      <c r="L35" s="33"/>
      <c r="M35" s="34"/>
      <c r="N35" s="1"/>
      <c r="O35" s="35"/>
      <c r="P35" s="19"/>
    </row>
    <row r="36" spans="1:16" ht="14.25" customHeight="1">
      <c r="D36" s="1"/>
      <c r="M36" s="36"/>
      <c r="N36" s="37"/>
    </row>
    <row r="37" spans="1:16" ht="14.25" customHeight="1">
      <c r="D37" s="1"/>
      <c r="N37" s="1"/>
      <c r="O37" s="36"/>
    </row>
    <row r="38" spans="1:16" ht="14.25" customHeight="1">
      <c r="B38" s="38"/>
      <c r="D38" s="39" t="s">
        <v>86</v>
      </c>
      <c r="N38" s="1"/>
      <c r="O38" s="36"/>
    </row>
    <row r="39" spans="1:16" s="24" customFormat="1" ht="14.25" customHeight="1">
      <c r="A39" s="17">
        <v>46147</v>
      </c>
      <c r="B39" s="18" t="s">
        <v>87</v>
      </c>
      <c r="C39" s="19" t="s">
        <v>88</v>
      </c>
      <c r="D39" s="20" t="s">
        <v>89</v>
      </c>
      <c r="M39" s="21">
        <v>163.80000000000001</v>
      </c>
      <c r="N39" s="40"/>
      <c r="P39" s="41"/>
    </row>
    <row r="40" spans="1:16" s="24" customFormat="1" ht="14.25" customHeight="1">
      <c r="A40" s="17">
        <v>46156</v>
      </c>
      <c r="B40" s="18" t="s">
        <v>87</v>
      </c>
      <c r="C40" s="19" t="s">
        <v>88</v>
      </c>
      <c r="D40" s="20" t="s">
        <v>90</v>
      </c>
      <c r="M40" s="21">
        <v>56.03</v>
      </c>
      <c r="N40" s="40"/>
      <c r="P40" s="41"/>
    </row>
    <row r="41" spans="1:16" ht="14.25" customHeight="1">
      <c r="A41" s="42"/>
      <c r="B41" s="38"/>
      <c r="C41" s="1"/>
      <c r="D41" s="1"/>
      <c r="M41" s="43"/>
      <c r="N41" s="44"/>
    </row>
    <row r="42" spans="1:16" ht="14.25" customHeight="1" thickBot="1">
      <c r="A42" s="42"/>
      <c r="B42" s="38"/>
      <c r="D42" s="1"/>
      <c r="M42" s="32">
        <f>SUM(M39:M40)</f>
        <v>219.83</v>
      </c>
      <c r="N42" s="44"/>
    </row>
    <row r="43" spans="1:16" ht="14.25" customHeight="1" thickTop="1">
      <c r="D43" s="1"/>
      <c r="K43" s="36"/>
      <c r="N43" s="44"/>
    </row>
    <row r="44" spans="1:16" ht="14.25" customHeight="1">
      <c r="D44" s="1"/>
      <c r="N44" s="44"/>
    </row>
    <row r="45" spans="1:16" ht="14.25" customHeight="1">
      <c r="D45" s="1"/>
      <c r="N45" s="44"/>
    </row>
    <row r="46" spans="1:16" ht="14.25" customHeight="1">
      <c r="D46" s="1"/>
      <c r="N46" s="44"/>
    </row>
    <row r="47" spans="1:16" ht="14.25" customHeight="1">
      <c r="D47" s="1"/>
      <c r="N47" s="44"/>
    </row>
    <row r="48" spans="1:16" ht="14.25" customHeight="1">
      <c r="D48" s="1"/>
      <c r="N48" s="44"/>
    </row>
    <row r="49" spans="4:14" ht="14.25" customHeight="1">
      <c r="D49" s="1"/>
      <c r="N49" s="44"/>
    </row>
    <row r="50" spans="4:14" ht="14.25" customHeight="1">
      <c r="D50" s="1"/>
      <c r="N50" s="44"/>
    </row>
    <row r="51" spans="4:14" ht="14.25" customHeight="1">
      <c r="D51" s="1"/>
      <c r="N51" s="44"/>
    </row>
    <row r="52" spans="4:14" ht="14.25" customHeight="1">
      <c r="D52" s="1"/>
      <c r="N52" s="44"/>
    </row>
    <row r="53" spans="4:14" ht="14.25" customHeight="1">
      <c r="D53" s="1"/>
      <c r="N53" s="44"/>
    </row>
    <row r="54" spans="4:14" ht="14.25" customHeight="1">
      <c r="D54" s="1"/>
      <c r="N54" s="44"/>
    </row>
    <row r="55" spans="4:14" ht="14.25" customHeight="1">
      <c r="D55" s="1"/>
      <c r="N55" s="44"/>
    </row>
    <row r="56" spans="4:14" ht="14.25" customHeight="1">
      <c r="D56" s="1"/>
      <c r="N56" s="44"/>
    </row>
    <row r="57" spans="4:14" ht="14.25" customHeight="1">
      <c r="D57" s="1"/>
      <c r="N57" s="44"/>
    </row>
    <row r="58" spans="4:14" ht="14.25" customHeight="1">
      <c r="D58" s="1"/>
      <c r="N58" s="44"/>
    </row>
    <row r="59" spans="4:14" ht="14.25" customHeight="1">
      <c r="D59" s="1"/>
      <c r="N59" s="44"/>
    </row>
    <row r="60" spans="4:14" ht="14.25" customHeight="1">
      <c r="D60" s="1"/>
      <c r="N60" s="44"/>
    </row>
    <row r="61" spans="4:14" ht="14.25" customHeight="1">
      <c r="D61" s="1"/>
      <c r="N61" s="44"/>
    </row>
    <row r="62" spans="4:14" ht="14.25" customHeight="1">
      <c r="D62" s="1"/>
      <c r="N62" s="44"/>
    </row>
    <row r="63" spans="4:14" ht="14.25" customHeight="1">
      <c r="D63" s="1"/>
      <c r="N63" s="44"/>
    </row>
    <row r="64" spans="4:14" ht="14.25" customHeight="1">
      <c r="D64" s="1"/>
      <c r="N64" s="44"/>
    </row>
    <row r="65" spans="4:14" ht="14.25" customHeight="1">
      <c r="D65" s="1"/>
      <c r="N65" s="44"/>
    </row>
    <row r="66" spans="4:14" ht="14.25" customHeight="1">
      <c r="D66" s="1"/>
      <c r="N66" s="44"/>
    </row>
    <row r="67" spans="4:14" ht="14.25" customHeight="1">
      <c r="D67" s="1"/>
      <c r="N67" s="44"/>
    </row>
    <row r="68" spans="4:14" ht="14.25" customHeight="1">
      <c r="D68" s="1"/>
      <c r="N68" s="44"/>
    </row>
    <row r="69" spans="4:14" ht="14.25" customHeight="1">
      <c r="D69" s="1"/>
      <c r="N69" s="44"/>
    </row>
    <row r="70" spans="4:14" ht="14.25" customHeight="1">
      <c r="D70" s="1"/>
      <c r="N70" s="44"/>
    </row>
    <row r="71" spans="4:14" ht="14.25" customHeight="1">
      <c r="D71" s="1"/>
      <c r="N71" s="44"/>
    </row>
    <row r="72" spans="4:14" ht="14.25" customHeight="1">
      <c r="D72" s="1"/>
      <c r="N72" s="44"/>
    </row>
    <row r="73" spans="4:14" ht="14.25" customHeight="1">
      <c r="D73" s="1"/>
      <c r="N73" s="44"/>
    </row>
    <row r="74" spans="4:14" ht="14.25" customHeight="1">
      <c r="D74" s="1"/>
      <c r="N74" s="44"/>
    </row>
    <row r="75" spans="4:14" ht="14.25" customHeight="1">
      <c r="D75" s="1"/>
      <c r="N75" s="44"/>
    </row>
    <row r="76" spans="4:14" ht="14.25" customHeight="1">
      <c r="D76" s="1"/>
      <c r="N76" s="44"/>
    </row>
    <row r="77" spans="4:14" ht="14.25" customHeight="1">
      <c r="D77" s="1"/>
      <c r="N77" s="44"/>
    </row>
    <row r="78" spans="4:14" ht="14.25" customHeight="1">
      <c r="D78" s="1"/>
      <c r="N78" s="44"/>
    </row>
    <row r="79" spans="4:14" ht="14.25" customHeight="1">
      <c r="D79" s="1"/>
      <c r="N79" s="44"/>
    </row>
    <row r="80" spans="4:14" ht="14.25" customHeight="1">
      <c r="D80" s="1"/>
      <c r="N80" s="44"/>
    </row>
    <row r="81" spans="4:14" ht="14.25" customHeight="1">
      <c r="D81" s="1"/>
      <c r="N81" s="44"/>
    </row>
    <row r="82" spans="4:14" ht="14.25" customHeight="1">
      <c r="D82" s="1"/>
      <c r="N82" s="44"/>
    </row>
    <row r="83" spans="4:14" ht="14.25" customHeight="1">
      <c r="D83" s="1"/>
      <c r="N83" s="44"/>
    </row>
    <row r="84" spans="4:14" ht="14.25" customHeight="1">
      <c r="D84" s="1"/>
      <c r="N84" s="44"/>
    </row>
    <row r="85" spans="4:14" ht="14.25" customHeight="1">
      <c r="D85" s="1"/>
      <c r="N85" s="44"/>
    </row>
    <row r="86" spans="4:14" ht="14.25" customHeight="1">
      <c r="D86" s="1"/>
      <c r="N86" s="44"/>
    </row>
    <row r="87" spans="4:14" ht="14.25" customHeight="1">
      <c r="D87" s="1"/>
      <c r="N87" s="44"/>
    </row>
    <row r="88" spans="4:14" ht="14.25" customHeight="1">
      <c r="D88" s="1"/>
      <c r="N88" s="44"/>
    </row>
    <row r="89" spans="4:14" ht="14.25" customHeight="1">
      <c r="D89" s="1"/>
      <c r="N89" s="44"/>
    </row>
    <row r="90" spans="4:14" ht="14.25" customHeight="1">
      <c r="D90" s="1"/>
      <c r="N90" s="44"/>
    </row>
    <row r="91" spans="4:14" ht="14.25" customHeight="1">
      <c r="D91" s="1"/>
      <c r="N91" s="44"/>
    </row>
    <row r="92" spans="4:14" ht="14.25" customHeight="1">
      <c r="D92" s="1"/>
      <c r="N92" s="44"/>
    </row>
    <row r="93" spans="4:14" ht="14.25" customHeight="1">
      <c r="D93" s="1"/>
      <c r="N93" s="44"/>
    </row>
    <row r="94" spans="4:14" ht="14.25" customHeight="1">
      <c r="D94" s="1"/>
      <c r="N94" s="44"/>
    </row>
    <row r="95" spans="4:14" ht="14.25" customHeight="1">
      <c r="D95" s="1"/>
      <c r="N95" s="44"/>
    </row>
    <row r="96" spans="4:14" ht="14.25" customHeight="1">
      <c r="D96" s="1"/>
      <c r="N96" s="44"/>
    </row>
    <row r="97" spans="4:14" ht="14.25" customHeight="1">
      <c r="D97" s="1"/>
      <c r="N97" s="44"/>
    </row>
    <row r="98" spans="4:14" ht="14.25" customHeight="1">
      <c r="D98" s="1"/>
      <c r="N98" s="44"/>
    </row>
    <row r="99" spans="4:14" ht="14.25" customHeight="1">
      <c r="D99" s="1"/>
      <c r="N99" s="44"/>
    </row>
    <row r="100" spans="4:14" ht="14.25" customHeight="1">
      <c r="D100" s="1"/>
      <c r="N100" s="44"/>
    </row>
    <row r="101" spans="4:14" ht="14.25" customHeight="1">
      <c r="D101" s="1"/>
      <c r="N101" s="44"/>
    </row>
    <row r="102" spans="4:14" ht="14.25" customHeight="1">
      <c r="D102" s="1"/>
      <c r="N102" s="44"/>
    </row>
    <row r="103" spans="4:14" ht="14.25" customHeight="1">
      <c r="D103" s="1"/>
      <c r="N103" s="44"/>
    </row>
    <row r="104" spans="4:14" ht="14.25" customHeight="1">
      <c r="D104" s="1"/>
      <c r="N104" s="44"/>
    </row>
    <row r="105" spans="4:14" ht="14.25" customHeight="1">
      <c r="D105" s="1"/>
      <c r="N105" s="44"/>
    </row>
    <row r="106" spans="4:14" ht="14.25" customHeight="1">
      <c r="D106" s="1"/>
      <c r="N106" s="44"/>
    </row>
    <row r="107" spans="4:14" ht="14.25" customHeight="1">
      <c r="D107" s="1"/>
      <c r="N107" s="44"/>
    </row>
    <row r="108" spans="4:14" ht="14.25" customHeight="1">
      <c r="D108" s="1"/>
      <c r="N108" s="44"/>
    </row>
    <row r="109" spans="4:14" ht="14.25" customHeight="1">
      <c r="D109" s="1"/>
      <c r="N109" s="44"/>
    </row>
    <row r="110" spans="4:14" ht="14.25" customHeight="1">
      <c r="D110" s="1"/>
      <c r="N110" s="44"/>
    </row>
    <row r="111" spans="4:14" ht="14.25" customHeight="1">
      <c r="D111" s="1"/>
      <c r="N111" s="44"/>
    </row>
    <row r="112" spans="4:14" ht="14.25" customHeight="1">
      <c r="D112" s="1"/>
      <c r="N112" s="44"/>
    </row>
    <row r="113" spans="4:14" ht="14.25" customHeight="1">
      <c r="D113" s="1"/>
      <c r="N113" s="44"/>
    </row>
    <row r="114" spans="4:14" ht="14.25" customHeight="1">
      <c r="D114" s="1"/>
      <c r="N114" s="44"/>
    </row>
    <row r="115" spans="4:14" ht="14.25" customHeight="1">
      <c r="D115" s="1"/>
      <c r="N115" s="44"/>
    </row>
    <row r="116" spans="4:14" ht="14.25" customHeight="1">
      <c r="D116" s="1"/>
      <c r="N116" s="44"/>
    </row>
    <row r="117" spans="4:14" ht="14.25" customHeight="1">
      <c r="D117" s="1"/>
      <c r="N117" s="44"/>
    </row>
    <row r="118" spans="4:14" ht="14.25" customHeight="1">
      <c r="D118" s="1"/>
      <c r="N118" s="44"/>
    </row>
    <row r="119" spans="4:14" ht="14.25" customHeight="1">
      <c r="D119" s="1"/>
      <c r="N119" s="44"/>
    </row>
    <row r="120" spans="4:14" ht="14.25" customHeight="1">
      <c r="D120" s="1"/>
      <c r="N120" s="44"/>
    </row>
    <row r="121" spans="4:14" ht="14.25" customHeight="1">
      <c r="D121" s="1"/>
      <c r="N121" s="44"/>
    </row>
    <row r="122" spans="4:14" ht="14.25" customHeight="1">
      <c r="D122" s="1"/>
      <c r="N122" s="44"/>
    </row>
    <row r="123" spans="4:14" ht="14.25" customHeight="1">
      <c r="D123" s="1"/>
      <c r="N123" s="44"/>
    </row>
    <row r="124" spans="4:14" ht="14.25" customHeight="1">
      <c r="D124" s="1"/>
      <c r="N124" s="44"/>
    </row>
    <row r="125" spans="4:14" ht="14.25" customHeight="1">
      <c r="D125" s="1"/>
      <c r="N125" s="44"/>
    </row>
    <row r="126" spans="4:14" ht="14.25" customHeight="1">
      <c r="D126" s="1"/>
      <c r="N126" s="44"/>
    </row>
    <row r="127" spans="4:14" ht="14.25" customHeight="1">
      <c r="D127" s="1"/>
      <c r="N127" s="44"/>
    </row>
    <row r="128" spans="4:14" ht="14.25" customHeight="1">
      <c r="D128" s="1"/>
      <c r="N128" s="44"/>
    </row>
    <row r="129" spans="4:14" ht="14.25" customHeight="1">
      <c r="D129" s="1"/>
      <c r="N129" s="44"/>
    </row>
    <row r="130" spans="4:14" ht="14.25" customHeight="1">
      <c r="D130" s="1"/>
      <c r="N130" s="44"/>
    </row>
    <row r="131" spans="4:14" ht="14.25" customHeight="1">
      <c r="D131" s="1"/>
      <c r="N131" s="44"/>
    </row>
    <row r="132" spans="4:14" ht="14.25" customHeight="1">
      <c r="D132" s="1"/>
      <c r="N132" s="44"/>
    </row>
    <row r="133" spans="4:14" ht="14.25" customHeight="1">
      <c r="D133" s="1"/>
      <c r="N133" s="44"/>
    </row>
    <row r="134" spans="4:14" ht="14.25" customHeight="1">
      <c r="D134" s="1"/>
      <c r="N134" s="44"/>
    </row>
    <row r="135" spans="4:14" ht="14.25" customHeight="1">
      <c r="D135" s="1"/>
      <c r="N135" s="44"/>
    </row>
    <row r="136" spans="4:14" ht="14.25" customHeight="1">
      <c r="D136" s="1"/>
      <c r="N136" s="44"/>
    </row>
    <row r="137" spans="4:14" ht="14.25" customHeight="1">
      <c r="D137" s="1"/>
      <c r="N137" s="44"/>
    </row>
    <row r="138" spans="4:14" ht="14.25" customHeight="1">
      <c r="D138" s="1"/>
      <c r="N138" s="44"/>
    </row>
    <row r="139" spans="4:14" ht="14.25" customHeight="1">
      <c r="D139" s="1"/>
      <c r="N139" s="44"/>
    </row>
    <row r="140" spans="4:14" ht="14.25" customHeight="1">
      <c r="D140" s="1"/>
      <c r="N140" s="44"/>
    </row>
    <row r="141" spans="4:14" ht="14.25" customHeight="1">
      <c r="D141" s="1"/>
      <c r="N141" s="44"/>
    </row>
    <row r="142" spans="4:14" ht="14.25" customHeight="1">
      <c r="D142" s="1"/>
      <c r="N142" s="44"/>
    </row>
    <row r="143" spans="4:14" ht="14.25" customHeight="1">
      <c r="D143" s="1"/>
      <c r="N143" s="44"/>
    </row>
    <row r="144" spans="4:14" ht="14.25" customHeight="1">
      <c r="D144" s="1"/>
      <c r="N144" s="44"/>
    </row>
    <row r="145" spans="4:14" ht="14.25" customHeight="1">
      <c r="D145" s="1"/>
      <c r="N145" s="44"/>
    </row>
    <row r="146" spans="4:14" ht="14.25" customHeight="1">
      <c r="D146" s="1"/>
      <c r="N146" s="44"/>
    </row>
    <row r="147" spans="4:14" ht="14.25" customHeight="1">
      <c r="D147" s="1"/>
      <c r="N147" s="44"/>
    </row>
    <row r="148" spans="4:14" ht="14.25" customHeight="1">
      <c r="D148" s="1"/>
      <c r="N148" s="44"/>
    </row>
    <row r="149" spans="4:14" ht="14.25" customHeight="1">
      <c r="D149" s="1"/>
      <c r="N149" s="44"/>
    </row>
    <row r="150" spans="4:14" ht="14.25" customHeight="1">
      <c r="D150" s="1"/>
      <c r="N150" s="44"/>
    </row>
    <row r="151" spans="4:14" ht="14.25" customHeight="1">
      <c r="D151" s="1"/>
      <c r="N151" s="44"/>
    </row>
    <row r="152" spans="4:14" ht="14.25" customHeight="1">
      <c r="D152" s="1"/>
      <c r="N152" s="44"/>
    </row>
    <row r="153" spans="4:14" ht="14.25" customHeight="1">
      <c r="D153" s="1"/>
      <c r="N153" s="44"/>
    </row>
    <row r="154" spans="4:14" ht="14.25" customHeight="1">
      <c r="D154" s="1"/>
      <c r="N154" s="44"/>
    </row>
    <row r="155" spans="4:14" ht="14.25" customHeight="1">
      <c r="D155" s="1"/>
      <c r="N155" s="44"/>
    </row>
    <row r="156" spans="4:14" ht="14.25" customHeight="1">
      <c r="D156" s="1"/>
      <c r="N156" s="44"/>
    </row>
    <row r="157" spans="4:14" ht="14.25" customHeight="1">
      <c r="D157" s="1"/>
      <c r="N157" s="44"/>
    </row>
    <row r="158" spans="4:14" ht="14.25" customHeight="1">
      <c r="D158" s="1"/>
      <c r="N158" s="44"/>
    </row>
    <row r="159" spans="4:14" ht="14.25" customHeight="1">
      <c r="D159" s="1"/>
      <c r="N159" s="44"/>
    </row>
    <row r="160" spans="4:14" ht="14.25" customHeight="1">
      <c r="D160" s="1"/>
      <c r="N160" s="44"/>
    </row>
    <row r="161" spans="4:14" ht="14.25" customHeight="1">
      <c r="D161" s="1"/>
      <c r="N161" s="44"/>
    </row>
    <row r="162" spans="4:14" ht="14.25" customHeight="1">
      <c r="D162" s="1"/>
      <c r="N162" s="44"/>
    </row>
    <row r="163" spans="4:14" ht="14.25" customHeight="1">
      <c r="D163" s="1"/>
      <c r="N163" s="44"/>
    </row>
    <row r="164" spans="4:14" ht="14.25" customHeight="1">
      <c r="D164" s="1"/>
      <c r="N164" s="44"/>
    </row>
    <row r="165" spans="4:14" ht="14.25" customHeight="1">
      <c r="D165" s="1"/>
      <c r="N165" s="44"/>
    </row>
    <row r="166" spans="4:14" ht="14.25" customHeight="1">
      <c r="D166" s="1"/>
      <c r="N166" s="44"/>
    </row>
    <row r="167" spans="4:14" ht="14.25" customHeight="1">
      <c r="D167" s="1"/>
      <c r="N167" s="44"/>
    </row>
    <row r="168" spans="4:14" ht="14.25" customHeight="1">
      <c r="D168" s="1"/>
      <c r="N168" s="44"/>
    </row>
    <row r="169" spans="4:14" ht="14.25" customHeight="1">
      <c r="D169" s="1"/>
      <c r="N169" s="44"/>
    </row>
    <row r="170" spans="4:14" ht="14.25" customHeight="1">
      <c r="D170" s="1"/>
      <c r="N170" s="44"/>
    </row>
    <row r="171" spans="4:14" ht="14.25" customHeight="1">
      <c r="D171" s="1"/>
      <c r="N171" s="44"/>
    </row>
    <row r="172" spans="4:14" ht="14.25" customHeight="1">
      <c r="D172" s="1"/>
      <c r="N172" s="44"/>
    </row>
    <row r="173" spans="4:14" ht="14.25" customHeight="1">
      <c r="D173" s="1"/>
      <c r="N173" s="44"/>
    </row>
    <row r="174" spans="4:14" ht="14.25" customHeight="1">
      <c r="D174" s="1"/>
      <c r="N174" s="44"/>
    </row>
    <row r="175" spans="4:14" ht="14.25" customHeight="1">
      <c r="D175" s="1"/>
      <c r="N175" s="44"/>
    </row>
    <row r="176" spans="4:14" ht="14.25" customHeight="1">
      <c r="D176" s="1"/>
      <c r="N176" s="44"/>
    </row>
    <row r="177" spans="4:14" ht="14.25" customHeight="1">
      <c r="D177" s="1"/>
      <c r="N177" s="44"/>
    </row>
    <row r="178" spans="4:14" ht="14.25" customHeight="1">
      <c r="D178" s="1"/>
      <c r="N178" s="44"/>
    </row>
    <row r="179" spans="4:14" ht="14.25" customHeight="1">
      <c r="D179" s="1"/>
      <c r="N179" s="44"/>
    </row>
    <row r="180" spans="4:14" ht="14.25" customHeight="1">
      <c r="D180" s="1"/>
      <c r="N180" s="44"/>
    </row>
    <row r="181" spans="4:14" ht="14.25" customHeight="1">
      <c r="D181" s="1"/>
      <c r="N181" s="44"/>
    </row>
    <row r="182" spans="4:14" ht="14.25" customHeight="1">
      <c r="D182" s="1"/>
      <c r="N182" s="44"/>
    </row>
    <row r="183" spans="4:14" ht="14.25" customHeight="1">
      <c r="D183" s="1"/>
      <c r="N183" s="44"/>
    </row>
    <row r="184" spans="4:14" ht="14.25" customHeight="1">
      <c r="D184" s="1"/>
      <c r="N184" s="44"/>
    </row>
    <row r="185" spans="4:14" ht="14.25" customHeight="1">
      <c r="D185" s="1"/>
      <c r="N185" s="44"/>
    </row>
    <row r="186" spans="4:14" ht="14.25" customHeight="1">
      <c r="D186" s="1"/>
      <c r="N186" s="44"/>
    </row>
    <row r="187" spans="4:14" ht="14.25" customHeight="1">
      <c r="D187" s="1"/>
      <c r="N187" s="44"/>
    </row>
    <row r="188" spans="4:14" ht="14.25" customHeight="1">
      <c r="D188" s="1"/>
      <c r="N188" s="44"/>
    </row>
    <row r="189" spans="4:14" ht="14.25" customHeight="1">
      <c r="D189" s="1"/>
      <c r="N189" s="44"/>
    </row>
    <row r="190" spans="4:14" ht="14.25" customHeight="1">
      <c r="D190" s="1"/>
      <c r="N190" s="44"/>
    </row>
    <row r="191" spans="4:14" ht="14.25" customHeight="1">
      <c r="D191" s="1"/>
      <c r="N191" s="44"/>
    </row>
    <row r="192" spans="4:14" ht="14.25" customHeight="1">
      <c r="D192" s="1"/>
      <c r="N192" s="44"/>
    </row>
    <row r="193" spans="4:14" ht="14.25" customHeight="1">
      <c r="D193" s="1"/>
      <c r="N193" s="44"/>
    </row>
    <row r="194" spans="4:14" ht="14.25" customHeight="1">
      <c r="D194" s="1"/>
      <c r="N194" s="44"/>
    </row>
    <row r="195" spans="4:14" ht="14.25" customHeight="1">
      <c r="D195" s="1"/>
      <c r="N195" s="44"/>
    </row>
    <row r="196" spans="4:14" ht="14.25" customHeight="1">
      <c r="D196" s="1"/>
      <c r="N196" s="44"/>
    </row>
    <row r="197" spans="4:14" ht="14.25" customHeight="1">
      <c r="D197" s="1"/>
      <c r="N197" s="44"/>
    </row>
    <row r="198" spans="4:14" ht="14.25" customHeight="1">
      <c r="D198" s="1"/>
      <c r="N198" s="44"/>
    </row>
    <row r="199" spans="4:14" ht="14.25" customHeight="1">
      <c r="D199" s="1"/>
      <c r="N199" s="44"/>
    </row>
    <row r="200" spans="4:14" ht="14.25" customHeight="1">
      <c r="D200" s="1"/>
      <c r="N200" s="44"/>
    </row>
    <row r="201" spans="4:14" ht="14.25" customHeight="1">
      <c r="D201" s="1"/>
      <c r="N201" s="44"/>
    </row>
    <row r="202" spans="4:14" ht="14.25" customHeight="1">
      <c r="D202" s="1"/>
      <c r="N202" s="44"/>
    </row>
    <row r="203" spans="4:14" ht="14.25" customHeight="1">
      <c r="D203" s="1"/>
      <c r="N203" s="44"/>
    </row>
    <row r="204" spans="4:14" ht="14.25" customHeight="1">
      <c r="D204" s="1"/>
      <c r="N204" s="44"/>
    </row>
    <row r="205" spans="4:14" ht="14.25" customHeight="1">
      <c r="D205" s="1"/>
      <c r="N205" s="44"/>
    </row>
    <row r="206" spans="4:14" ht="14.25" customHeight="1">
      <c r="D206" s="1"/>
      <c r="N206" s="44"/>
    </row>
    <row r="207" spans="4:14" ht="14.25" customHeight="1">
      <c r="D207" s="1"/>
      <c r="N207" s="44"/>
    </row>
    <row r="208" spans="4:14" ht="14.25" customHeight="1">
      <c r="D208" s="1"/>
      <c r="N208" s="44"/>
    </row>
    <row r="209" spans="4:14" ht="14.25" customHeight="1">
      <c r="D209" s="1"/>
      <c r="N209" s="44"/>
    </row>
    <row r="210" spans="4:14" ht="14.25" customHeight="1">
      <c r="D210" s="1"/>
      <c r="N210" s="44"/>
    </row>
    <row r="211" spans="4:14" ht="14.25" customHeight="1">
      <c r="D211" s="1"/>
      <c r="N211" s="44"/>
    </row>
    <row r="212" spans="4:14" ht="14.25" customHeight="1">
      <c r="D212" s="1"/>
      <c r="N212" s="44"/>
    </row>
    <row r="213" spans="4:14" ht="14.25" customHeight="1">
      <c r="D213" s="1"/>
      <c r="N213" s="44"/>
    </row>
    <row r="214" spans="4:14" ht="14.25" customHeight="1">
      <c r="D214" s="1"/>
      <c r="N214" s="44"/>
    </row>
    <row r="215" spans="4:14" ht="14.25" customHeight="1">
      <c r="D215" s="1"/>
      <c r="N215" s="44"/>
    </row>
    <row r="216" spans="4:14" ht="14.25" customHeight="1">
      <c r="D216" s="1"/>
      <c r="N216" s="44"/>
    </row>
    <row r="217" spans="4:14" ht="14.25" customHeight="1">
      <c r="D217" s="1"/>
      <c r="N217" s="44"/>
    </row>
    <row r="218" spans="4:14" ht="14.25" customHeight="1">
      <c r="D218" s="1"/>
      <c r="N218" s="44"/>
    </row>
    <row r="219" spans="4:14" ht="14.25" customHeight="1">
      <c r="D219" s="1"/>
      <c r="N219" s="44"/>
    </row>
    <row r="220" spans="4:14" ht="14.25" customHeight="1">
      <c r="D220" s="1"/>
      <c r="N220" s="44"/>
    </row>
    <row r="221" spans="4:14" ht="14.25" customHeight="1">
      <c r="D221" s="1"/>
      <c r="N221" s="44"/>
    </row>
    <row r="222" spans="4:14" ht="14.25" customHeight="1">
      <c r="D222" s="1"/>
      <c r="N222" s="44"/>
    </row>
    <row r="223" spans="4:14" ht="14.25" customHeight="1">
      <c r="D223" s="1"/>
      <c r="N223" s="44"/>
    </row>
    <row r="224" spans="4:14" ht="14.25" customHeight="1">
      <c r="D224" s="1"/>
      <c r="N224" s="44"/>
    </row>
    <row r="225" spans="4:14" ht="14.25" customHeight="1">
      <c r="D225" s="1"/>
      <c r="N225" s="44"/>
    </row>
    <row r="226" spans="4:14" ht="14.25" customHeight="1">
      <c r="D226" s="1"/>
      <c r="N226" s="44"/>
    </row>
    <row r="227" spans="4:14" ht="14.25" customHeight="1">
      <c r="D227" s="1"/>
      <c r="N227" s="44"/>
    </row>
    <row r="228" spans="4:14" ht="14.25" customHeight="1">
      <c r="D228" s="1"/>
      <c r="N228" s="44"/>
    </row>
    <row r="229" spans="4:14" ht="14.25" customHeight="1">
      <c r="D229" s="1"/>
      <c r="N229" s="44"/>
    </row>
    <row r="230" spans="4:14" ht="14.25" customHeight="1">
      <c r="D230" s="1"/>
      <c r="N230" s="44"/>
    </row>
    <row r="231" spans="4:14" ht="14.25" customHeight="1">
      <c r="D231" s="1"/>
      <c r="N231" s="44"/>
    </row>
    <row r="232" spans="4:14" ht="14.25" customHeight="1">
      <c r="D232" s="1"/>
      <c r="N232" s="44"/>
    </row>
    <row r="233" spans="4:14" ht="14.25" customHeight="1">
      <c r="D233" s="1"/>
      <c r="N233" s="44"/>
    </row>
    <row r="234" spans="4:14" ht="14.25" customHeight="1">
      <c r="D234" s="1"/>
      <c r="N234" s="44"/>
    </row>
    <row r="235" spans="4:14" ht="14.25" customHeight="1">
      <c r="D235" s="1"/>
      <c r="N235" s="44"/>
    </row>
    <row r="236" spans="4:14" ht="14.25" customHeight="1">
      <c r="D236" s="1"/>
      <c r="N236" s="44"/>
    </row>
    <row r="237" spans="4:14" ht="14.25" customHeight="1">
      <c r="D237" s="1"/>
      <c r="N237" s="44"/>
    </row>
    <row r="238" spans="4:14" ht="14.25" customHeight="1">
      <c r="D238" s="1"/>
      <c r="N238" s="44"/>
    </row>
    <row r="239" spans="4:14" ht="14.25" customHeight="1">
      <c r="D239" s="1"/>
      <c r="N239" s="44"/>
    </row>
    <row r="240" spans="4:14" ht="14.25" customHeight="1">
      <c r="D240" s="1"/>
      <c r="N240" s="44"/>
    </row>
    <row r="241" spans="4:14" ht="14.25" customHeight="1">
      <c r="D241" s="1"/>
      <c r="N241" s="44"/>
    </row>
    <row r="242" spans="4:14" ht="14.25" customHeight="1">
      <c r="D242" s="1"/>
      <c r="N242" s="44"/>
    </row>
    <row r="243" spans="4:14" ht="14.25" customHeight="1">
      <c r="D243" s="1"/>
      <c r="N243" s="44"/>
    </row>
    <row r="244" spans="4:14" ht="14.25" customHeight="1">
      <c r="D244" s="1"/>
      <c r="N244" s="44"/>
    </row>
    <row r="245" spans="4:14" ht="14.25" customHeight="1">
      <c r="D245" s="1"/>
      <c r="N245" s="44"/>
    </row>
    <row r="246" spans="4:14" ht="14.25" customHeight="1">
      <c r="D246" s="1"/>
      <c r="N246" s="44"/>
    </row>
    <row r="247" spans="4:14" ht="14.25" customHeight="1">
      <c r="D247" s="1"/>
      <c r="N247" s="44"/>
    </row>
    <row r="248" spans="4:14" ht="14.25" customHeight="1">
      <c r="D248" s="1"/>
      <c r="N248" s="44"/>
    </row>
    <row r="249" spans="4:14" ht="14.25" customHeight="1">
      <c r="D249" s="1"/>
      <c r="N249" s="44"/>
    </row>
    <row r="250" spans="4:14" ht="14.25" customHeight="1">
      <c r="D250" s="1"/>
      <c r="N250" s="44"/>
    </row>
    <row r="251" spans="4:14" ht="14.25" customHeight="1">
      <c r="D251" s="1"/>
      <c r="N251" s="44"/>
    </row>
    <row r="252" spans="4:14" ht="14.25" customHeight="1">
      <c r="D252" s="1"/>
      <c r="N252" s="44"/>
    </row>
    <row r="253" spans="4:14" ht="14.25" customHeight="1">
      <c r="D253" s="1"/>
      <c r="N253" s="44"/>
    </row>
    <row r="254" spans="4:14" ht="14.25" customHeight="1">
      <c r="D254" s="1"/>
      <c r="N254" s="44"/>
    </row>
    <row r="255" spans="4:14" ht="14.25" customHeight="1">
      <c r="D255" s="1"/>
      <c r="N255" s="44"/>
    </row>
    <row r="256" spans="4:14" ht="14.25" customHeight="1">
      <c r="D256" s="1"/>
      <c r="N256" s="44"/>
    </row>
    <row r="257" spans="4:14" ht="14.25" customHeight="1">
      <c r="D257" s="1"/>
      <c r="N257" s="44"/>
    </row>
    <row r="258" spans="4:14" ht="14.25" customHeight="1">
      <c r="D258" s="1"/>
      <c r="N258" s="44"/>
    </row>
    <row r="259" spans="4:14" ht="14.25" customHeight="1">
      <c r="D259" s="1"/>
      <c r="N259" s="44"/>
    </row>
    <row r="260" spans="4:14" ht="14.25" customHeight="1">
      <c r="D260" s="1"/>
      <c r="N260" s="44"/>
    </row>
    <row r="261" spans="4:14" ht="14.25" customHeight="1">
      <c r="D261" s="1"/>
      <c r="N261" s="44"/>
    </row>
    <row r="262" spans="4:14" ht="14.25" customHeight="1">
      <c r="D262" s="1"/>
      <c r="N262" s="44"/>
    </row>
    <row r="263" spans="4:14" ht="14.25" customHeight="1">
      <c r="D263" s="1"/>
      <c r="N263" s="44"/>
    </row>
    <row r="264" spans="4:14" ht="14.25" customHeight="1">
      <c r="D264" s="1"/>
      <c r="N264" s="44"/>
    </row>
    <row r="265" spans="4:14" ht="14.25" customHeight="1">
      <c r="D265" s="1"/>
      <c r="N265" s="44"/>
    </row>
    <row r="266" spans="4:14" ht="14.25" customHeight="1">
      <c r="D266" s="1"/>
      <c r="N266" s="44"/>
    </row>
    <row r="267" spans="4:14" ht="14.25" customHeight="1">
      <c r="D267" s="1"/>
      <c r="N267" s="44"/>
    </row>
    <row r="268" spans="4:14" ht="14.25" customHeight="1">
      <c r="D268" s="1"/>
      <c r="N268" s="44"/>
    </row>
    <row r="269" spans="4:14" ht="14.25" customHeight="1">
      <c r="D269" s="1"/>
      <c r="N269" s="44"/>
    </row>
    <row r="270" spans="4:14" ht="14.25" customHeight="1">
      <c r="D270" s="1"/>
      <c r="N270" s="44"/>
    </row>
    <row r="271" spans="4:14" ht="14.25" customHeight="1">
      <c r="D271" s="1"/>
      <c r="N271" s="44"/>
    </row>
    <row r="272" spans="4:14" ht="14.25" customHeight="1">
      <c r="D272" s="1"/>
      <c r="N272" s="44"/>
    </row>
    <row r="273" spans="4:14" ht="14.25" customHeight="1">
      <c r="D273" s="1"/>
      <c r="N273" s="44"/>
    </row>
    <row r="274" spans="4:14" ht="14.25" customHeight="1">
      <c r="D274" s="1"/>
      <c r="N274" s="44"/>
    </row>
    <row r="275" spans="4:14" ht="14.25" customHeight="1">
      <c r="D275" s="1"/>
      <c r="N275" s="44"/>
    </row>
    <row r="276" spans="4:14" ht="14.25" customHeight="1">
      <c r="D276" s="1"/>
      <c r="N276" s="44"/>
    </row>
    <row r="277" spans="4:14" ht="14.25" customHeight="1">
      <c r="D277" s="1"/>
      <c r="N277" s="44"/>
    </row>
    <row r="278" spans="4:14" ht="14.25" customHeight="1">
      <c r="D278" s="1"/>
      <c r="N278" s="44"/>
    </row>
    <row r="279" spans="4:14" ht="14.25" customHeight="1">
      <c r="D279" s="1"/>
      <c r="N279" s="44"/>
    </row>
    <row r="280" spans="4:14" ht="14.25" customHeight="1">
      <c r="D280" s="1"/>
      <c r="N280" s="44"/>
    </row>
    <row r="281" spans="4:14" ht="14.25" customHeight="1">
      <c r="D281" s="1"/>
      <c r="N281" s="44"/>
    </row>
    <row r="282" spans="4:14" ht="14.25" customHeight="1">
      <c r="D282" s="1"/>
      <c r="N282" s="44"/>
    </row>
    <row r="283" spans="4:14" ht="14.25" customHeight="1">
      <c r="D283" s="1"/>
      <c r="N283" s="44"/>
    </row>
    <row r="284" spans="4:14" ht="14.25" customHeight="1">
      <c r="D284" s="1"/>
      <c r="N284" s="44"/>
    </row>
    <row r="285" spans="4:14" ht="14.25" customHeight="1">
      <c r="D285" s="1"/>
      <c r="N285" s="44"/>
    </row>
    <row r="286" spans="4:14" ht="14.25" customHeight="1">
      <c r="D286" s="1"/>
      <c r="N286" s="44"/>
    </row>
    <row r="287" spans="4:14" ht="14.25" customHeight="1">
      <c r="D287" s="1"/>
      <c r="N287" s="44"/>
    </row>
    <row r="288" spans="4:14" ht="14.25" customHeight="1">
      <c r="D288" s="1"/>
      <c r="N288" s="44"/>
    </row>
    <row r="289" spans="4:14" ht="14.25" customHeight="1">
      <c r="D289" s="1"/>
      <c r="N289" s="44"/>
    </row>
    <row r="290" spans="4:14" ht="14.25" customHeight="1">
      <c r="D290" s="1"/>
      <c r="N290" s="44"/>
    </row>
    <row r="291" spans="4:14" ht="14.25" customHeight="1">
      <c r="D291" s="1"/>
      <c r="N291" s="44"/>
    </row>
    <row r="292" spans="4:14" ht="14.25" customHeight="1">
      <c r="D292" s="1"/>
      <c r="N292" s="44"/>
    </row>
    <row r="293" spans="4:14" ht="14.25" customHeight="1">
      <c r="D293" s="1"/>
      <c r="N293" s="44"/>
    </row>
    <row r="294" spans="4:14" ht="14.25" customHeight="1">
      <c r="D294" s="1"/>
      <c r="N294" s="44"/>
    </row>
    <row r="295" spans="4:14" ht="14.25" customHeight="1">
      <c r="D295" s="1"/>
      <c r="N295" s="44"/>
    </row>
    <row r="296" spans="4:14" ht="14.25" customHeight="1">
      <c r="D296" s="1"/>
      <c r="N296" s="44"/>
    </row>
    <row r="297" spans="4:14" ht="14.25" customHeight="1">
      <c r="D297" s="1"/>
      <c r="N297" s="44"/>
    </row>
    <row r="298" spans="4:14" ht="14.25" customHeight="1">
      <c r="D298" s="1"/>
      <c r="N298" s="44"/>
    </row>
    <row r="299" spans="4:14" ht="14.25" customHeight="1">
      <c r="D299" s="1"/>
      <c r="N299" s="44"/>
    </row>
    <row r="300" spans="4:14" ht="14.25" customHeight="1">
      <c r="D300" s="1"/>
      <c r="N300" s="44"/>
    </row>
    <row r="301" spans="4:14" ht="14.25" customHeight="1">
      <c r="D301" s="1"/>
      <c r="N301" s="44"/>
    </row>
    <row r="302" spans="4:14" ht="14.25" customHeight="1">
      <c r="D302" s="1"/>
      <c r="N302" s="44"/>
    </row>
    <row r="303" spans="4:14" ht="14.25" customHeight="1">
      <c r="D303" s="1"/>
      <c r="N303" s="44"/>
    </row>
    <row r="304" spans="4:14" ht="14.25" customHeight="1">
      <c r="D304" s="1"/>
      <c r="N304" s="44"/>
    </row>
    <row r="305" spans="4:14" ht="14.25" customHeight="1">
      <c r="D305" s="1"/>
      <c r="N305" s="44"/>
    </row>
    <row r="306" spans="4:14" ht="14.25" customHeight="1">
      <c r="D306" s="1"/>
      <c r="N306" s="44"/>
    </row>
    <row r="307" spans="4:14" ht="14.25" customHeight="1">
      <c r="D307" s="1"/>
      <c r="N307" s="44"/>
    </row>
    <row r="308" spans="4:14" ht="14.25" customHeight="1">
      <c r="D308" s="1"/>
      <c r="N308" s="44"/>
    </row>
    <row r="309" spans="4:14" ht="14.25" customHeight="1">
      <c r="D309" s="1"/>
      <c r="N309" s="44"/>
    </row>
    <row r="310" spans="4:14" ht="14.25" customHeight="1">
      <c r="D310" s="1"/>
      <c r="N310" s="44"/>
    </row>
    <row r="311" spans="4:14" ht="14.25" customHeight="1">
      <c r="D311" s="1"/>
      <c r="N311" s="44"/>
    </row>
    <row r="312" spans="4:14" ht="14.25" customHeight="1">
      <c r="D312" s="1"/>
      <c r="N312" s="44"/>
    </row>
    <row r="313" spans="4:14" ht="14.25" customHeight="1">
      <c r="D313" s="1"/>
      <c r="N313" s="44"/>
    </row>
    <row r="314" spans="4:14" ht="14.25" customHeight="1">
      <c r="D314" s="1"/>
      <c r="N314" s="44"/>
    </row>
    <row r="315" spans="4:14" ht="14.25" customHeight="1">
      <c r="D315" s="1"/>
      <c r="N315" s="44"/>
    </row>
    <row r="316" spans="4:14" ht="14.25" customHeight="1">
      <c r="D316" s="1"/>
      <c r="N316" s="44"/>
    </row>
    <row r="317" spans="4:14" ht="14.25" customHeight="1">
      <c r="D317" s="1"/>
      <c r="N317" s="44"/>
    </row>
    <row r="318" spans="4:14" ht="14.25" customHeight="1">
      <c r="D318" s="1"/>
      <c r="N318" s="44"/>
    </row>
    <row r="319" spans="4:14" ht="14.25" customHeight="1">
      <c r="D319" s="1"/>
      <c r="N319" s="44"/>
    </row>
    <row r="320" spans="4:14" ht="14.25" customHeight="1">
      <c r="D320" s="1"/>
      <c r="N320" s="44"/>
    </row>
    <row r="321" spans="4:14" ht="14.25" customHeight="1">
      <c r="D321" s="1"/>
      <c r="N321" s="44"/>
    </row>
    <row r="322" spans="4:14" ht="14.25" customHeight="1">
      <c r="D322" s="1"/>
      <c r="N322" s="44"/>
    </row>
    <row r="323" spans="4:14" ht="14.25" customHeight="1">
      <c r="D323" s="1"/>
      <c r="N323" s="44"/>
    </row>
    <row r="324" spans="4:14" ht="14.25" customHeight="1">
      <c r="D324" s="1"/>
      <c r="N324" s="44"/>
    </row>
    <row r="325" spans="4:14" ht="14.25" customHeight="1">
      <c r="D325" s="1"/>
      <c r="N325" s="44"/>
    </row>
    <row r="326" spans="4:14" ht="14.25" customHeight="1">
      <c r="D326" s="1"/>
      <c r="N326" s="44"/>
    </row>
    <row r="327" spans="4:14" ht="14.25" customHeight="1">
      <c r="D327" s="1"/>
      <c r="N327" s="44"/>
    </row>
    <row r="328" spans="4:14" ht="14.25" customHeight="1">
      <c r="D328" s="1"/>
      <c r="N328" s="44"/>
    </row>
    <row r="329" spans="4:14" ht="14.25" customHeight="1">
      <c r="D329" s="1"/>
      <c r="N329" s="44"/>
    </row>
    <row r="330" spans="4:14" ht="14.25" customHeight="1">
      <c r="D330" s="1"/>
      <c r="N330" s="44"/>
    </row>
    <row r="331" spans="4:14" ht="14.25" customHeight="1">
      <c r="D331" s="1"/>
      <c r="N331" s="44"/>
    </row>
    <row r="332" spans="4:14" ht="14.25" customHeight="1">
      <c r="D332" s="1"/>
      <c r="N332" s="44"/>
    </row>
    <row r="333" spans="4:14" ht="14.25" customHeight="1">
      <c r="D333" s="1"/>
      <c r="N333" s="44"/>
    </row>
    <row r="334" spans="4:14" ht="14.25" customHeight="1">
      <c r="D334" s="1"/>
      <c r="N334" s="44"/>
    </row>
    <row r="335" spans="4:14" ht="14.25" customHeight="1">
      <c r="D335" s="1"/>
      <c r="N335" s="44"/>
    </row>
    <row r="336" spans="4:14" ht="14.25" customHeight="1">
      <c r="D336" s="1"/>
      <c r="N336" s="44"/>
    </row>
    <row r="337" spans="4:14" ht="14.25" customHeight="1">
      <c r="D337" s="1"/>
      <c r="N337" s="44"/>
    </row>
    <row r="338" spans="4:14" ht="14.25" customHeight="1">
      <c r="D338" s="1"/>
      <c r="N338" s="44"/>
    </row>
    <row r="339" spans="4:14" ht="14.25" customHeight="1">
      <c r="D339" s="1"/>
      <c r="N339" s="44"/>
    </row>
    <row r="340" spans="4:14" ht="14.25" customHeight="1">
      <c r="D340" s="1"/>
      <c r="N340" s="44"/>
    </row>
    <row r="341" spans="4:14" ht="14.25" customHeight="1">
      <c r="D341" s="1"/>
      <c r="N341" s="44"/>
    </row>
    <row r="342" spans="4:14" ht="14.25" customHeight="1">
      <c r="D342" s="1"/>
      <c r="N342" s="44"/>
    </row>
    <row r="343" spans="4:14" ht="14.25" customHeight="1">
      <c r="D343" s="1"/>
      <c r="N343" s="44"/>
    </row>
    <row r="344" spans="4:14" ht="14.25" customHeight="1">
      <c r="D344" s="1"/>
      <c r="N344" s="44"/>
    </row>
    <row r="345" spans="4:14" ht="14.25" customHeight="1">
      <c r="D345" s="1"/>
      <c r="N345" s="44"/>
    </row>
    <row r="346" spans="4:14" ht="14.25" customHeight="1">
      <c r="D346" s="1"/>
      <c r="N346" s="44"/>
    </row>
    <row r="347" spans="4:14" ht="14.25" customHeight="1">
      <c r="D347" s="1"/>
      <c r="N347" s="44"/>
    </row>
    <row r="348" spans="4:14" ht="14.25" customHeight="1">
      <c r="D348" s="1"/>
      <c r="N348" s="44"/>
    </row>
    <row r="349" spans="4:14" ht="14.25" customHeight="1">
      <c r="D349" s="1"/>
      <c r="N349" s="44"/>
    </row>
    <row r="350" spans="4:14" ht="14.25" customHeight="1">
      <c r="D350" s="1"/>
      <c r="N350" s="44"/>
    </row>
    <row r="351" spans="4:14" ht="14.25" customHeight="1">
      <c r="D351" s="1"/>
      <c r="N351" s="44"/>
    </row>
    <row r="352" spans="4:14" ht="14.25" customHeight="1">
      <c r="D352" s="1"/>
      <c r="N352" s="44"/>
    </row>
    <row r="353" spans="4:14" ht="14.25" customHeight="1">
      <c r="D353" s="1"/>
      <c r="N353" s="44"/>
    </row>
    <row r="354" spans="4:14" ht="14.25" customHeight="1">
      <c r="D354" s="1"/>
      <c r="N354" s="44"/>
    </row>
    <row r="355" spans="4:14" ht="14.25" customHeight="1">
      <c r="D355" s="1"/>
      <c r="N355" s="44"/>
    </row>
    <row r="356" spans="4:14" ht="14.25" customHeight="1">
      <c r="D356" s="1"/>
      <c r="N356" s="44"/>
    </row>
    <row r="357" spans="4:14" ht="14.25" customHeight="1">
      <c r="D357" s="1"/>
      <c r="N357" s="44"/>
    </row>
    <row r="358" spans="4:14" ht="14.25" customHeight="1">
      <c r="D358" s="1"/>
      <c r="N358" s="44"/>
    </row>
    <row r="359" spans="4:14" ht="14.25" customHeight="1">
      <c r="D359" s="1"/>
      <c r="N359" s="44"/>
    </row>
    <row r="360" spans="4:14" ht="14.25" customHeight="1">
      <c r="D360" s="1"/>
      <c r="N360" s="44"/>
    </row>
    <row r="361" spans="4:14" ht="14.25" customHeight="1">
      <c r="D361" s="1"/>
      <c r="N361" s="44"/>
    </row>
    <row r="362" spans="4:14" ht="14.25" customHeight="1">
      <c r="D362" s="1"/>
      <c r="N362" s="44"/>
    </row>
    <row r="363" spans="4:14" ht="14.25" customHeight="1">
      <c r="D363" s="1"/>
      <c r="N363" s="44"/>
    </row>
    <row r="364" spans="4:14" ht="14.25" customHeight="1">
      <c r="D364" s="1"/>
      <c r="N364" s="44"/>
    </row>
    <row r="365" spans="4:14" ht="14.25" customHeight="1">
      <c r="D365" s="1"/>
      <c r="N365" s="44"/>
    </row>
    <row r="366" spans="4:14" ht="14.25" customHeight="1">
      <c r="D366" s="1"/>
      <c r="N366" s="44"/>
    </row>
    <row r="367" spans="4:14" ht="14.25" customHeight="1">
      <c r="D367" s="1"/>
      <c r="N367" s="44"/>
    </row>
    <row r="368" spans="4:14" ht="14.25" customHeight="1">
      <c r="D368" s="1"/>
      <c r="N368" s="44"/>
    </row>
    <row r="369" spans="4:14" ht="14.25" customHeight="1">
      <c r="D369" s="1"/>
      <c r="N369" s="44"/>
    </row>
    <row r="370" spans="4:14" ht="14.25" customHeight="1">
      <c r="D370" s="1"/>
      <c r="N370" s="44"/>
    </row>
    <row r="371" spans="4:14" ht="14.25" customHeight="1">
      <c r="D371" s="1"/>
      <c r="N371" s="44"/>
    </row>
    <row r="372" spans="4:14" ht="14.25" customHeight="1">
      <c r="D372" s="1"/>
      <c r="N372" s="44"/>
    </row>
    <row r="373" spans="4:14" ht="14.25" customHeight="1">
      <c r="D373" s="1"/>
      <c r="N373" s="44"/>
    </row>
    <row r="374" spans="4:14" ht="14.25" customHeight="1">
      <c r="D374" s="1"/>
      <c r="N374" s="44"/>
    </row>
    <row r="375" spans="4:14" ht="14.25" customHeight="1">
      <c r="D375" s="1"/>
      <c r="N375" s="44"/>
    </row>
    <row r="376" spans="4:14" ht="14.25" customHeight="1">
      <c r="D376" s="1"/>
      <c r="N376" s="44"/>
    </row>
    <row r="377" spans="4:14" ht="14.25" customHeight="1">
      <c r="D377" s="1"/>
      <c r="N377" s="44"/>
    </row>
    <row r="378" spans="4:14" ht="14.25" customHeight="1">
      <c r="D378" s="1"/>
      <c r="N378" s="44"/>
    </row>
    <row r="379" spans="4:14" ht="14.25" customHeight="1">
      <c r="D379" s="1"/>
      <c r="N379" s="44"/>
    </row>
    <row r="380" spans="4:14" ht="14.25" customHeight="1">
      <c r="D380" s="1"/>
      <c r="N380" s="44"/>
    </row>
    <row r="381" spans="4:14" ht="14.25" customHeight="1">
      <c r="D381" s="1"/>
      <c r="N381" s="44"/>
    </row>
    <row r="382" spans="4:14" ht="14.25" customHeight="1">
      <c r="D382" s="1"/>
      <c r="N382" s="44"/>
    </row>
    <row r="383" spans="4:14" ht="14.25" customHeight="1">
      <c r="D383" s="1"/>
      <c r="N383" s="44"/>
    </row>
    <row r="384" spans="4:14" ht="14.25" customHeight="1">
      <c r="D384" s="1"/>
      <c r="N384" s="44"/>
    </row>
    <row r="385" spans="4:14" ht="14.25" customHeight="1">
      <c r="D385" s="1"/>
      <c r="N385" s="44"/>
    </row>
    <row r="386" spans="4:14" ht="14.25" customHeight="1">
      <c r="D386" s="1"/>
      <c r="N386" s="44"/>
    </row>
    <row r="387" spans="4:14" ht="14.25" customHeight="1">
      <c r="D387" s="1"/>
      <c r="N387" s="44"/>
    </row>
    <row r="388" spans="4:14" ht="14.25" customHeight="1">
      <c r="D388" s="1"/>
      <c r="N388" s="44"/>
    </row>
    <row r="389" spans="4:14" ht="14.25" customHeight="1">
      <c r="D389" s="1"/>
      <c r="N389" s="44"/>
    </row>
    <row r="390" spans="4:14" ht="14.25" customHeight="1">
      <c r="D390" s="1"/>
      <c r="N390" s="44"/>
    </row>
    <row r="391" spans="4:14" ht="14.25" customHeight="1">
      <c r="D391" s="1"/>
      <c r="N391" s="44"/>
    </row>
    <row r="392" spans="4:14" ht="14.25" customHeight="1">
      <c r="D392" s="1"/>
      <c r="N392" s="44"/>
    </row>
    <row r="393" spans="4:14" ht="14.25" customHeight="1">
      <c r="D393" s="1"/>
      <c r="N393" s="44"/>
    </row>
    <row r="394" spans="4:14" ht="14.25" customHeight="1">
      <c r="D394" s="1"/>
      <c r="N394" s="44"/>
    </row>
    <row r="395" spans="4:14" ht="14.25" customHeight="1">
      <c r="D395" s="1"/>
      <c r="N395" s="44"/>
    </row>
    <row r="396" spans="4:14" ht="14.25" customHeight="1">
      <c r="D396" s="1"/>
      <c r="N396" s="44"/>
    </row>
    <row r="397" spans="4:14" ht="14.25" customHeight="1">
      <c r="D397" s="1"/>
      <c r="N397" s="44"/>
    </row>
    <row r="398" spans="4:14" ht="14.25" customHeight="1">
      <c r="D398" s="1"/>
      <c r="N398" s="44"/>
    </row>
    <row r="399" spans="4:14" ht="14.25" customHeight="1">
      <c r="D399" s="1"/>
      <c r="N399" s="44"/>
    </row>
    <row r="400" spans="4:14" ht="14.25" customHeight="1">
      <c r="D400" s="1"/>
      <c r="N400" s="44"/>
    </row>
    <row r="401" spans="4:14" ht="14.25" customHeight="1">
      <c r="D401" s="1"/>
      <c r="N401" s="44"/>
    </row>
    <row r="402" spans="4:14" ht="14.25" customHeight="1">
      <c r="D402" s="1"/>
      <c r="N402" s="44"/>
    </row>
    <row r="403" spans="4:14" ht="14.25" customHeight="1">
      <c r="D403" s="1"/>
      <c r="N403" s="44"/>
    </row>
    <row r="404" spans="4:14" ht="14.25" customHeight="1">
      <c r="D404" s="1"/>
      <c r="N404" s="44"/>
    </row>
    <row r="405" spans="4:14" ht="14.25" customHeight="1">
      <c r="D405" s="1"/>
      <c r="N405" s="44"/>
    </row>
    <row r="406" spans="4:14" ht="14.25" customHeight="1">
      <c r="D406" s="1"/>
      <c r="N406" s="44"/>
    </row>
    <row r="407" spans="4:14" ht="14.25" customHeight="1">
      <c r="D407" s="1"/>
      <c r="N407" s="44"/>
    </row>
    <row r="408" spans="4:14" ht="14.25" customHeight="1">
      <c r="D408" s="1"/>
      <c r="N408" s="44"/>
    </row>
    <row r="409" spans="4:14" ht="14.25" customHeight="1">
      <c r="D409" s="1"/>
      <c r="N409" s="44"/>
    </row>
    <row r="410" spans="4:14" ht="14.25" customHeight="1">
      <c r="D410" s="1"/>
      <c r="N410" s="44"/>
    </row>
    <row r="411" spans="4:14" ht="14.25" customHeight="1">
      <c r="D411" s="1"/>
      <c r="N411" s="44"/>
    </row>
    <row r="412" spans="4:14" ht="14.25" customHeight="1">
      <c r="D412" s="1"/>
      <c r="N412" s="44"/>
    </row>
    <row r="413" spans="4:14" ht="14.25" customHeight="1">
      <c r="D413" s="1"/>
      <c r="N413" s="44"/>
    </row>
    <row r="414" spans="4:14" ht="14.25" customHeight="1">
      <c r="D414" s="1"/>
      <c r="N414" s="44"/>
    </row>
    <row r="415" spans="4:14" ht="14.25" customHeight="1">
      <c r="D415" s="1"/>
      <c r="N415" s="44"/>
    </row>
    <row r="416" spans="4:14" ht="14.25" customHeight="1">
      <c r="D416" s="1"/>
      <c r="N416" s="44"/>
    </row>
    <row r="417" spans="4:14" ht="14.25" customHeight="1">
      <c r="D417" s="1"/>
      <c r="N417" s="44"/>
    </row>
    <row r="418" spans="4:14" ht="14.25" customHeight="1">
      <c r="D418" s="1"/>
      <c r="N418" s="44"/>
    </row>
    <row r="419" spans="4:14" ht="14.25" customHeight="1">
      <c r="D419" s="1"/>
      <c r="N419" s="44"/>
    </row>
    <row r="420" spans="4:14" ht="14.25" customHeight="1">
      <c r="D420" s="1"/>
      <c r="N420" s="44"/>
    </row>
    <row r="421" spans="4:14" ht="14.25" customHeight="1">
      <c r="D421" s="1"/>
      <c r="N421" s="44"/>
    </row>
    <row r="422" spans="4:14" ht="14.25" customHeight="1">
      <c r="D422" s="1"/>
      <c r="N422" s="44"/>
    </row>
    <row r="423" spans="4:14" ht="14.25" customHeight="1">
      <c r="D423" s="1"/>
      <c r="N423" s="44"/>
    </row>
    <row r="424" spans="4:14" ht="14.25" customHeight="1">
      <c r="D424" s="1"/>
      <c r="N424" s="44"/>
    </row>
    <row r="425" spans="4:14" ht="14.25" customHeight="1">
      <c r="D425" s="1"/>
      <c r="N425" s="44"/>
    </row>
    <row r="426" spans="4:14" ht="14.25" customHeight="1">
      <c r="D426" s="1"/>
      <c r="N426" s="44"/>
    </row>
    <row r="427" spans="4:14" ht="14.25" customHeight="1">
      <c r="D427" s="1"/>
      <c r="N427" s="44"/>
    </row>
    <row r="428" spans="4:14" ht="14.25" customHeight="1">
      <c r="D428" s="1"/>
      <c r="N428" s="44"/>
    </row>
    <row r="429" spans="4:14" ht="14.25" customHeight="1">
      <c r="D429" s="1"/>
      <c r="N429" s="44"/>
    </row>
    <row r="430" spans="4:14" ht="14.25" customHeight="1">
      <c r="D430" s="1"/>
      <c r="N430" s="44"/>
    </row>
    <row r="431" spans="4:14" ht="14.25" customHeight="1">
      <c r="D431" s="1"/>
      <c r="N431" s="44"/>
    </row>
    <row r="432" spans="4:14" ht="14.25" customHeight="1">
      <c r="D432" s="1"/>
      <c r="N432" s="44"/>
    </row>
    <row r="433" spans="4:14" ht="14.25" customHeight="1">
      <c r="D433" s="1"/>
      <c r="N433" s="44"/>
    </row>
    <row r="434" spans="4:14" ht="14.25" customHeight="1">
      <c r="D434" s="1"/>
      <c r="N434" s="44"/>
    </row>
    <row r="435" spans="4:14" ht="14.25" customHeight="1">
      <c r="D435" s="1"/>
      <c r="N435" s="44"/>
    </row>
    <row r="436" spans="4:14" ht="14.25" customHeight="1">
      <c r="D436" s="1"/>
      <c r="N436" s="44"/>
    </row>
    <row r="437" spans="4:14" ht="14.25" customHeight="1">
      <c r="D437" s="1"/>
      <c r="N437" s="44"/>
    </row>
    <row r="438" spans="4:14" ht="14.25" customHeight="1">
      <c r="D438" s="1"/>
      <c r="N438" s="44"/>
    </row>
    <row r="439" spans="4:14" ht="14.25" customHeight="1">
      <c r="D439" s="1"/>
      <c r="N439" s="44"/>
    </row>
    <row r="440" spans="4:14" ht="14.25" customHeight="1">
      <c r="D440" s="1"/>
      <c r="N440" s="44"/>
    </row>
    <row r="441" spans="4:14" ht="14.25" customHeight="1">
      <c r="D441" s="1"/>
      <c r="N441" s="44"/>
    </row>
    <row r="442" spans="4:14" ht="14.25" customHeight="1">
      <c r="D442" s="1"/>
      <c r="N442" s="44"/>
    </row>
    <row r="443" spans="4:14" ht="14.25" customHeight="1">
      <c r="D443" s="1"/>
      <c r="N443" s="44"/>
    </row>
    <row r="444" spans="4:14" ht="14.25" customHeight="1">
      <c r="D444" s="1"/>
      <c r="N444" s="44"/>
    </row>
    <row r="445" spans="4:14" ht="14.25" customHeight="1">
      <c r="D445" s="1"/>
      <c r="N445" s="44"/>
    </row>
    <row r="446" spans="4:14" ht="14.25" customHeight="1">
      <c r="D446" s="1"/>
      <c r="N446" s="44"/>
    </row>
    <row r="447" spans="4:14" ht="14.25" customHeight="1">
      <c r="D447" s="1"/>
      <c r="N447" s="44"/>
    </row>
    <row r="448" spans="4:14" ht="14.25" customHeight="1">
      <c r="D448" s="1"/>
      <c r="N448" s="44"/>
    </row>
    <row r="449" spans="4:14" ht="14.25" customHeight="1">
      <c r="D449" s="1"/>
      <c r="N449" s="44"/>
    </row>
    <row r="450" spans="4:14" ht="14.25" customHeight="1">
      <c r="D450" s="1"/>
      <c r="N450" s="44"/>
    </row>
    <row r="451" spans="4:14" ht="14.25" customHeight="1">
      <c r="D451" s="1"/>
      <c r="N451" s="44"/>
    </row>
    <row r="452" spans="4:14" ht="14.25" customHeight="1">
      <c r="D452" s="1"/>
      <c r="N452" s="44"/>
    </row>
    <row r="453" spans="4:14" ht="14.25" customHeight="1">
      <c r="D453" s="1"/>
      <c r="N453" s="44"/>
    </row>
    <row r="454" spans="4:14" ht="14.25" customHeight="1">
      <c r="D454" s="1"/>
      <c r="N454" s="44"/>
    </row>
    <row r="455" spans="4:14" ht="14.25" customHeight="1">
      <c r="D455" s="1"/>
      <c r="N455" s="44"/>
    </row>
    <row r="456" spans="4:14" ht="14.25" customHeight="1">
      <c r="D456" s="1"/>
      <c r="N456" s="44"/>
    </row>
    <row r="457" spans="4:14" ht="14.25" customHeight="1">
      <c r="D457" s="1"/>
      <c r="N457" s="44"/>
    </row>
    <row r="458" spans="4:14" ht="14.25" customHeight="1">
      <c r="D458" s="1"/>
      <c r="N458" s="44"/>
    </row>
    <row r="459" spans="4:14" ht="14.25" customHeight="1">
      <c r="D459" s="1"/>
      <c r="N459" s="44"/>
    </row>
    <row r="460" spans="4:14" ht="14.25" customHeight="1">
      <c r="D460" s="1"/>
      <c r="N460" s="44"/>
    </row>
    <row r="461" spans="4:14" ht="14.25" customHeight="1">
      <c r="D461" s="1"/>
      <c r="N461" s="44"/>
    </row>
    <row r="462" spans="4:14" ht="14.25" customHeight="1">
      <c r="D462" s="1"/>
      <c r="N462" s="44"/>
    </row>
    <row r="463" spans="4:14" ht="14.25" customHeight="1">
      <c r="D463" s="1"/>
      <c r="N463" s="44"/>
    </row>
    <row r="464" spans="4:14" ht="14.25" customHeight="1">
      <c r="D464" s="1"/>
      <c r="N464" s="44"/>
    </row>
    <row r="465" spans="4:14" ht="14.25" customHeight="1">
      <c r="D465" s="1"/>
      <c r="N465" s="44"/>
    </row>
    <row r="466" spans="4:14" ht="14.25" customHeight="1">
      <c r="D466" s="1"/>
      <c r="N466" s="44"/>
    </row>
    <row r="467" spans="4:14" ht="14.25" customHeight="1">
      <c r="D467" s="1"/>
      <c r="N467" s="44"/>
    </row>
    <row r="468" spans="4:14" ht="14.25" customHeight="1">
      <c r="D468" s="1"/>
      <c r="N468" s="44"/>
    </row>
    <row r="469" spans="4:14" ht="14.25" customHeight="1">
      <c r="D469" s="1"/>
      <c r="N469" s="44"/>
    </row>
    <row r="470" spans="4:14" ht="14.25" customHeight="1">
      <c r="D470" s="1"/>
      <c r="N470" s="44"/>
    </row>
    <row r="471" spans="4:14" ht="14.25" customHeight="1">
      <c r="D471" s="1"/>
      <c r="N471" s="44"/>
    </row>
    <row r="472" spans="4:14" ht="14.25" customHeight="1">
      <c r="D472" s="1"/>
      <c r="N472" s="44"/>
    </row>
    <row r="473" spans="4:14" ht="14.25" customHeight="1">
      <c r="D473" s="1"/>
      <c r="N473" s="44"/>
    </row>
    <row r="474" spans="4:14" ht="14.25" customHeight="1">
      <c r="D474" s="1"/>
      <c r="N474" s="44"/>
    </row>
    <row r="475" spans="4:14" ht="14.25" customHeight="1">
      <c r="D475" s="1"/>
      <c r="N475" s="44"/>
    </row>
    <row r="476" spans="4:14" ht="14.25" customHeight="1">
      <c r="D476" s="1"/>
      <c r="N476" s="44"/>
    </row>
    <row r="477" spans="4:14" ht="14.25" customHeight="1">
      <c r="D477" s="1"/>
      <c r="N477" s="44"/>
    </row>
    <row r="478" spans="4:14" ht="14.25" customHeight="1">
      <c r="D478" s="1"/>
      <c r="N478" s="44"/>
    </row>
    <row r="479" spans="4:14" ht="14.25" customHeight="1">
      <c r="D479" s="1"/>
      <c r="N479" s="44"/>
    </row>
    <row r="480" spans="4:14" ht="14.25" customHeight="1">
      <c r="D480" s="1"/>
      <c r="N480" s="44"/>
    </row>
    <row r="481" spans="4:14" ht="14.25" customHeight="1">
      <c r="D481" s="1"/>
      <c r="N481" s="44"/>
    </row>
    <row r="482" spans="4:14" ht="14.25" customHeight="1">
      <c r="D482" s="1"/>
      <c r="N482" s="44"/>
    </row>
    <row r="483" spans="4:14" ht="14.25" customHeight="1">
      <c r="D483" s="1"/>
      <c r="N483" s="44"/>
    </row>
    <row r="484" spans="4:14" ht="14.25" customHeight="1">
      <c r="D484" s="1"/>
      <c r="N484" s="44"/>
    </row>
    <row r="485" spans="4:14" ht="14.25" customHeight="1">
      <c r="D485" s="1"/>
      <c r="N485" s="44"/>
    </row>
    <row r="486" spans="4:14" ht="14.25" customHeight="1">
      <c r="D486" s="1"/>
      <c r="N486" s="44"/>
    </row>
    <row r="487" spans="4:14" ht="14.25" customHeight="1">
      <c r="D487" s="1"/>
      <c r="N487" s="44"/>
    </row>
    <row r="488" spans="4:14" ht="14.25" customHeight="1">
      <c r="D488" s="1"/>
      <c r="N488" s="44"/>
    </row>
    <row r="489" spans="4:14" ht="14.25" customHeight="1">
      <c r="D489" s="1"/>
      <c r="N489" s="44"/>
    </row>
    <row r="490" spans="4:14" ht="14.25" customHeight="1">
      <c r="D490" s="1"/>
      <c r="N490" s="44"/>
    </row>
    <row r="491" spans="4:14" ht="14.25" customHeight="1">
      <c r="D491" s="1"/>
      <c r="N491" s="44"/>
    </row>
    <row r="492" spans="4:14" ht="14.25" customHeight="1">
      <c r="D492" s="1"/>
      <c r="N492" s="44"/>
    </row>
    <row r="493" spans="4:14" ht="14.25" customHeight="1">
      <c r="D493" s="1"/>
      <c r="N493" s="44"/>
    </row>
    <row r="494" spans="4:14" ht="14.25" customHeight="1">
      <c r="D494" s="1"/>
      <c r="N494" s="44"/>
    </row>
    <row r="495" spans="4:14" ht="14.25" customHeight="1">
      <c r="D495" s="1"/>
      <c r="N495" s="44"/>
    </row>
    <row r="496" spans="4:14" ht="14.25" customHeight="1">
      <c r="D496" s="1"/>
      <c r="N496" s="44"/>
    </row>
    <row r="497" spans="4:14" ht="14.25" customHeight="1">
      <c r="D497" s="1"/>
      <c r="N497" s="44"/>
    </row>
    <row r="498" spans="4:14" ht="14.25" customHeight="1">
      <c r="D498" s="1"/>
      <c r="N498" s="44"/>
    </row>
    <row r="499" spans="4:14" ht="14.25" customHeight="1">
      <c r="D499" s="1"/>
      <c r="N499" s="44"/>
    </row>
    <row r="500" spans="4:14" ht="14.25" customHeight="1">
      <c r="D500" s="1"/>
      <c r="N500" s="44"/>
    </row>
    <row r="501" spans="4:14" ht="14.25" customHeight="1">
      <c r="D501" s="1"/>
      <c r="N501" s="44"/>
    </row>
    <row r="502" spans="4:14" ht="14.25" customHeight="1">
      <c r="D502" s="1"/>
      <c r="N502" s="44"/>
    </row>
    <row r="503" spans="4:14" ht="14.25" customHeight="1">
      <c r="D503" s="1"/>
      <c r="N503" s="44"/>
    </row>
    <row r="504" spans="4:14" ht="14.25" customHeight="1">
      <c r="D504" s="1"/>
      <c r="N504" s="44"/>
    </row>
    <row r="505" spans="4:14" ht="14.25" customHeight="1">
      <c r="D505" s="1"/>
      <c r="N505" s="44"/>
    </row>
    <row r="506" spans="4:14" ht="14.25" customHeight="1">
      <c r="D506" s="1"/>
      <c r="N506" s="44"/>
    </row>
    <row r="507" spans="4:14" ht="14.25" customHeight="1">
      <c r="D507" s="1"/>
      <c r="N507" s="44"/>
    </row>
    <row r="508" spans="4:14" ht="14.25" customHeight="1">
      <c r="D508" s="1"/>
      <c r="N508" s="44"/>
    </row>
    <row r="509" spans="4:14" ht="14.25" customHeight="1">
      <c r="D509" s="1"/>
      <c r="N509" s="44"/>
    </row>
    <row r="510" spans="4:14" ht="14.25" customHeight="1">
      <c r="D510" s="1"/>
      <c r="N510" s="44"/>
    </row>
    <row r="511" spans="4:14" ht="14.25" customHeight="1">
      <c r="D511" s="1"/>
      <c r="N511" s="44"/>
    </row>
    <row r="512" spans="4:14" ht="14.25" customHeight="1">
      <c r="D512" s="1"/>
      <c r="N512" s="44"/>
    </row>
    <row r="513" spans="4:14" ht="14.25" customHeight="1">
      <c r="D513" s="1"/>
      <c r="N513" s="44"/>
    </row>
    <row r="514" spans="4:14" ht="14.25" customHeight="1">
      <c r="D514" s="1"/>
      <c r="N514" s="44"/>
    </row>
    <row r="515" spans="4:14" ht="14.25" customHeight="1">
      <c r="D515" s="1"/>
      <c r="N515" s="44"/>
    </row>
    <row r="516" spans="4:14" ht="14.25" customHeight="1">
      <c r="D516" s="1"/>
      <c r="N516" s="44"/>
    </row>
    <row r="517" spans="4:14" ht="14.25" customHeight="1">
      <c r="D517" s="1"/>
      <c r="N517" s="44"/>
    </row>
    <row r="518" spans="4:14" ht="14.25" customHeight="1">
      <c r="D518" s="1"/>
      <c r="N518" s="44"/>
    </row>
    <row r="519" spans="4:14" ht="14.25" customHeight="1">
      <c r="D519" s="1"/>
      <c r="N519" s="44"/>
    </row>
    <row r="520" spans="4:14" ht="14.25" customHeight="1">
      <c r="D520" s="1"/>
      <c r="N520" s="44"/>
    </row>
    <row r="521" spans="4:14" ht="14.25" customHeight="1">
      <c r="D521" s="1"/>
      <c r="N521" s="44"/>
    </row>
    <row r="522" spans="4:14" ht="14.25" customHeight="1">
      <c r="D522" s="1"/>
      <c r="N522" s="44"/>
    </row>
    <row r="523" spans="4:14" ht="14.25" customHeight="1">
      <c r="D523" s="1"/>
      <c r="N523" s="44"/>
    </row>
    <row r="524" spans="4:14" ht="14.25" customHeight="1">
      <c r="D524" s="1"/>
      <c r="N524" s="44"/>
    </row>
    <row r="525" spans="4:14" ht="14.25" customHeight="1">
      <c r="D525" s="1"/>
      <c r="N525" s="44"/>
    </row>
    <row r="526" spans="4:14" ht="14.25" customHeight="1">
      <c r="D526" s="1"/>
      <c r="N526" s="44"/>
    </row>
    <row r="527" spans="4:14" ht="14.25" customHeight="1">
      <c r="D527" s="1"/>
      <c r="N527" s="44"/>
    </row>
    <row r="528" spans="4:14" ht="14.25" customHeight="1">
      <c r="D528" s="1"/>
      <c r="N528" s="44"/>
    </row>
    <row r="529" spans="4:14" ht="14.25" customHeight="1">
      <c r="D529" s="1"/>
      <c r="N529" s="44"/>
    </row>
    <row r="530" spans="4:14" ht="14.25" customHeight="1">
      <c r="D530" s="1"/>
      <c r="N530" s="44"/>
    </row>
    <row r="531" spans="4:14" ht="14.25" customHeight="1">
      <c r="D531" s="1"/>
      <c r="N531" s="44"/>
    </row>
    <row r="532" spans="4:14" ht="14.25" customHeight="1">
      <c r="D532" s="1"/>
      <c r="N532" s="44"/>
    </row>
    <row r="533" spans="4:14" ht="14.25" customHeight="1">
      <c r="D533" s="1"/>
      <c r="N533" s="44"/>
    </row>
    <row r="534" spans="4:14" ht="14.25" customHeight="1">
      <c r="D534" s="1"/>
      <c r="N534" s="44"/>
    </row>
    <row r="535" spans="4:14" ht="14.25" customHeight="1">
      <c r="D535" s="1"/>
      <c r="N535" s="44"/>
    </row>
    <row r="536" spans="4:14" ht="14.25" customHeight="1">
      <c r="D536" s="1"/>
      <c r="N536" s="44"/>
    </row>
    <row r="537" spans="4:14" ht="14.25" customHeight="1">
      <c r="D537" s="1"/>
      <c r="N537" s="44"/>
    </row>
    <row r="538" spans="4:14" ht="14.25" customHeight="1">
      <c r="D538" s="1"/>
      <c r="N538" s="44"/>
    </row>
    <row r="539" spans="4:14" ht="14.25" customHeight="1">
      <c r="D539" s="1"/>
      <c r="N539" s="44"/>
    </row>
    <row r="540" spans="4:14" ht="14.25" customHeight="1">
      <c r="D540" s="1"/>
      <c r="N540" s="44"/>
    </row>
    <row r="541" spans="4:14" ht="14.25" customHeight="1">
      <c r="D541" s="1"/>
      <c r="N541" s="44"/>
    </row>
    <row r="542" spans="4:14" ht="14.25" customHeight="1">
      <c r="D542" s="1"/>
      <c r="N542" s="44"/>
    </row>
    <row r="543" spans="4:14" ht="14.25" customHeight="1">
      <c r="D543" s="1"/>
      <c r="N543" s="44"/>
    </row>
    <row r="544" spans="4:14" ht="14.25" customHeight="1">
      <c r="D544" s="1"/>
      <c r="N544" s="44"/>
    </row>
    <row r="545" spans="4:14" ht="14.25" customHeight="1">
      <c r="D545" s="1"/>
      <c r="N545" s="44"/>
    </row>
    <row r="546" spans="4:14" ht="14.25" customHeight="1">
      <c r="D546" s="1"/>
      <c r="N546" s="44"/>
    </row>
    <row r="547" spans="4:14" ht="14.25" customHeight="1">
      <c r="D547" s="1"/>
      <c r="N547" s="44"/>
    </row>
    <row r="548" spans="4:14" ht="14.25" customHeight="1">
      <c r="D548" s="1"/>
      <c r="N548" s="44"/>
    </row>
    <row r="549" spans="4:14" ht="14.25" customHeight="1">
      <c r="D549" s="1"/>
      <c r="N549" s="44"/>
    </row>
    <row r="550" spans="4:14" ht="14.25" customHeight="1">
      <c r="D550" s="1"/>
      <c r="N550" s="44"/>
    </row>
    <row r="551" spans="4:14" ht="14.25" customHeight="1">
      <c r="D551" s="1"/>
      <c r="N551" s="44"/>
    </row>
    <row r="552" spans="4:14" ht="14.25" customHeight="1">
      <c r="D552" s="1"/>
      <c r="N552" s="44"/>
    </row>
    <row r="553" spans="4:14" ht="14.25" customHeight="1">
      <c r="D553" s="1"/>
      <c r="N553" s="44"/>
    </row>
    <row r="554" spans="4:14" ht="14.25" customHeight="1">
      <c r="D554" s="1"/>
      <c r="N554" s="44"/>
    </row>
    <row r="555" spans="4:14" ht="14.25" customHeight="1">
      <c r="D555" s="1"/>
      <c r="N555" s="44"/>
    </row>
    <row r="556" spans="4:14" ht="14.25" customHeight="1">
      <c r="D556" s="1"/>
      <c r="N556" s="44"/>
    </row>
    <row r="557" spans="4:14" ht="14.25" customHeight="1">
      <c r="D557" s="1"/>
      <c r="N557" s="44"/>
    </row>
    <row r="558" spans="4:14" ht="14.25" customHeight="1">
      <c r="D558" s="1"/>
      <c r="N558" s="44"/>
    </row>
    <row r="559" spans="4:14" ht="14.25" customHeight="1">
      <c r="D559" s="1"/>
      <c r="N559" s="44"/>
    </row>
    <row r="560" spans="4:14" ht="14.25" customHeight="1">
      <c r="D560" s="1"/>
      <c r="N560" s="44"/>
    </row>
    <row r="561" spans="4:14" ht="14.25" customHeight="1">
      <c r="D561" s="1"/>
      <c r="N561" s="44"/>
    </row>
    <row r="562" spans="4:14" ht="14.25" customHeight="1">
      <c r="D562" s="1"/>
      <c r="N562" s="44"/>
    </row>
    <row r="563" spans="4:14" ht="14.25" customHeight="1">
      <c r="D563" s="1"/>
      <c r="N563" s="44"/>
    </row>
    <row r="564" spans="4:14" ht="14.25" customHeight="1">
      <c r="D564" s="1"/>
      <c r="N564" s="44"/>
    </row>
    <row r="565" spans="4:14" ht="14.25" customHeight="1">
      <c r="D565" s="1"/>
      <c r="N565" s="44"/>
    </row>
    <row r="566" spans="4:14" ht="14.25" customHeight="1">
      <c r="D566" s="1"/>
      <c r="N566" s="44"/>
    </row>
    <row r="567" spans="4:14" ht="14.25" customHeight="1">
      <c r="D567" s="1"/>
      <c r="N567" s="44"/>
    </row>
    <row r="568" spans="4:14" ht="14.25" customHeight="1">
      <c r="D568" s="1"/>
      <c r="N568" s="44"/>
    </row>
    <row r="569" spans="4:14" ht="14.25" customHeight="1">
      <c r="D569" s="1"/>
      <c r="N569" s="44"/>
    </row>
    <row r="570" spans="4:14" ht="14.25" customHeight="1">
      <c r="D570" s="1"/>
      <c r="N570" s="44"/>
    </row>
    <row r="571" spans="4:14" ht="14.25" customHeight="1">
      <c r="D571" s="1"/>
      <c r="N571" s="44"/>
    </row>
    <row r="572" spans="4:14" ht="14.25" customHeight="1">
      <c r="D572" s="1"/>
      <c r="N572" s="44"/>
    </row>
    <row r="573" spans="4:14" ht="14.25" customHeight="1">
      <c r="D573" s="1"/>
      <c r="N573" s="44"/>
    </row>
    <row r="574" spans="4:14" ht="14.25" customHeight="1">
      <c r="D574" s="1"/>
      <c r="N574" s="44"/>
    </row>
    <row r="575" spans="4:14" ht="14.25" customHeight="1">
      <c r="D575" s="1"/>
      <c r="N575" s="44"/>
    </row>
    <row r="576" spans="4:14" ht="14.25" customHeight="1">
      <c r="D576" s="1"/>
      <c r="N576" s="44"/>
    </row>
    <row r="577" spans="4:14" ht="14.25" customHeight="1">
      <c r="D577" s="1"/>
      <c r="N577" s="44"/>
    </row>
    <row r="578" spans="4:14" ht="14.25" customHeight="1">
      <c r="D578" s="1"/>
      <c r="N578" s="44"/>
    </row>
    <row r="579" spans="4:14" ht="14.25" customHeight="1">
      <c r="D579" s="1"/>
      <c r="N579" s="44"/>
    </row>
    <row r="580" spans="4:14" ht="14.25" customHeight="1">
      <c r="D580" s="1"/>
      <c r="N580" s="44"/>
    </row>
    <row r="581" spans="4:14" ht="14.25" customHeight="1">
      <c r="D581" s="1"/>
      <c r="N581" s="44"/>
    </row>
    <row r="582" spans="4:14" ht="14.25" customHeight="1">
      <c r="D582" s="1"/>
      <c r="N582" s="44"/>
    </row>
    <row r="583" spans="4:14" ht="14.25" customHeight="1">
      <c r="D583" s="1"/>
      <c r="N583" s="44"/>
    </row>
    <row r="584" spans="4:14" ht="14.25" customHeight="1">
      <c r="D584" s="1"/>
      <c r="N584" s="44"/>
    </row>
    <row r="585" spans="4:14" ht="14.25" customHeight="1">
      <c r="D585" s="1"/>
      <c r="N585" s="44"/>
    </row>
    <row r="586" spans="4:14" ht="14.25" customHeight="1">
      <c r="D586" s="1"/>
      <c r="N586" s="44"/>
    </row>
    <row r="587" spans="4:14" ht="14.25" customHeight="1">
      <c r="D587" s="1"/>
      <c r="N587" s="44"/>
    </row>
    <row r="588" spans="4:14" ht="14.25" customHeight="1">
      <c r="D588" s="1"/>
      <c r="N588" s="44"/>
    </row>
    <row r="589" spans="4:14" ht="14.25" customHeight="1">
      <c r="D589" s="1"/>
      <c r="N589" s="44"/>
    </row>
    <row r="590" spans="4:14" ht="14.25" customHeight="1">
      <c r="D590" s="1"/>
      <c r="N590" s="44"/>
    </row>
    <row r="591" spans="4:14" ht="14.25" customHeight="1">
      <c r="D591" s="1"/>
      <c r="N591" s="44"/>
    </row>
    <row r="592" spans="4:14" ht="14.25" customHeight="1">
      <c r="D592" s="1"/>
      <c r="N592" s="44"/>
    </row>
    <row r="593" spans="4:14" ht="14.25" customHeight="1">
      <c r="D593" s="1"/>
      <c r="N593" s="44"/>
    </row>
    <row r="594" spans="4:14" ht="14.25" customHeight="1">
      <c r="D594" s="1"/>
      <c r="N594" s="44"/>
    </row>
    <row r="595" spans="4:14" ht="14.25" customHeight="1">
      <c r="D595" s="1"/>
      <c r="N595" s="44"/>
    </row>
    <row r="596" spans="4:14" ht="14.25" customHeight="1">
      <c r="D596" s="1"/>
      <c r="N596" s="44"/>
    </row>
    <row r="597" spans="4:14" ht="14.25" customHeight="1">
      <c r="D597" s="1"/>
      <c r="N597" s="44"/>
    </row>
    <row r="598" spans="4:14" ht="14.25" customHeight="1">
      <c r="D598" s="1"/>
      <c r="N598" s="44"/>
    </row>
    <row r="599" spans="4:14" ht="14.25" customHeight="1">
      <c r="D599" s="1"/>
      <c r="N599" s="44"/>
    </row>
    <row r="600" spans="4:14" ht="14.25" customHeight="1">
      <c r="D600" s="1"/>
      <c r="N600" s="44"/>
    </row>
    <row r="601" spans="4:14" ht="14.25" customHeight="1">
      <c r="D601" s="1"/>
      <c r="N601" s="44"/>
    </row>
    <row r="602" spans="4:14" ht="14.25" customHeight="1">
      <c r="D602" s="1"/>
      <c r="N602" s="44"/>
    </row>
    <row r="603" spans="4:14" ht="14.25" customHeight="1">
      <c r="D603" s="1"/>
      <c r="N603" s="44"/>
    </row>
    <row r="604" spans="4:14" ht="14.25" customHeight="1">
      <c r="D604" s="1"/>
      <c r="N604" s="44"/>
    </row>
    <row r="605" spans="4:14" ht="14.25" customHeight="1">
      <c r="D605" s="1"/>
      <c r="N605" s="44"/>
    </row>
    <row r="606" spans="4:14" ht="14.25" customHeight="1">
      <c r="D606" s="1"/>
      <c r="N606" s="44"/>
    </row>
    <row r="607" spans="4:14" ht="14.25" customHeight="1">
      <c r="D607" s="1"/>
      <c r="N607" s="44"/>
    </row>
    <row r="608" spans="4:14" ht="14.25" customHeight="1">
      <c r="D608" s="1"/>
      <c r="N608" s="44"/>
    </row>
    <row r="609" spans="4:14" ht="14.25" customHeight="1">
      <c r="D609" s="1"/>
      <c r="N609" s="44"/>
    </row>
    <row r="610" spans="4:14" ht="14.25" customHeight="1">
      <c r="D610" s="1"/>
      <c r="N610" s="44"/>
    </row>
    <row r="611" spans="4:14" ht="14.25" customHeight="1">
      <c r="D611" s="1"/>
      <c r="N611" s="44"/>
    </row>
    <row r="612" spans="4:14" ht="14.25" customHeight="1">
      <c r="D612" s="1"/>
      <c r="N612" s="44"/>
    </row>
    <row r="613" spans="4:14" ht="14.25" customHeight="1">
      <c r="D613" s="1"/>
      <c r="N613" s="44"/>
    </row>
    <row r="614" spans="4:14" ht="14.25" customHeight="1">
      <c r="D614" s="1"/>
      <c r="N614" s="44"/>
    </row>
    <row r="615" spans="4:14" ht="14.25" customHeight="1">
      <c r="D615" s="1"/>
      <c r="N615" s="44"/>
    </row>
    <row r="616" spans="4:14" ht="14.25" customHeight="1">
      <c r="D616" s="1"/>
      <c r="N616" s="44"/>
    </row>
    <row r="617" spans="4:14" ht="14.25" customHeight="1">
      <c r="D617" s="1"/>
      <c r="N617" s="44"/>
    </row>
    <row r="618" spans="4:14" ht="14.25" customHeight="1">
      <c r="D618" s="1"/>
      <c r="N618" s="44"/>
    </row>
    <row r="619" spans="4:14" ht="14.25" customHeight="1">
      <c r="D619" s="1"/>
      <c r="N619" s="44"/>
    </row>
    <row r="620" spans="4:14" ht="14.25" customHeight="1">
      <c r="D620" s="1"/>
      <c r="N620" s="44"/>
    </row>
    <row r="621" spans="4:14" ht="14.25" customHeight="1">
      <c r="D621" s="1"/>
      <c r="N621" s="44"/>
    </row>
    <row r="622" spans="4:14" ht="14.25" customHeight="1">
      <c r="D622" s="1"/>
      <c r="N622" s="44"/>
    </row>
    <row r="623" spans="4:14" ht="14.25" customHeight="1">
      <c r="D623" s="1"/>
      <c r="N623" s="44"/>
    </row>
    <row r="624" spans="4:14" ht="14.25" customHeight="1">
      <c r="D624" s="1"/>
      <c r="N624" s="44"/>
    </row>
    <row r="625" spans="4:14" ht="14.25" customHeight="1">
      <c r="D625" s="1"/>
      <c r="N625" s="44"/>
    </row>
    <row r="626" spans="4:14" ht="14.25" customHeight="1">
      <c r="D626" s="1"/>
      <c r="N626" s="44"/>
    </row>
    <row r="627" spans="4:14" ht="14.25" customHeight="1">
      <c r="D627" s="1"/>
      <c r="N627" s="44"/>
    </row>
    <row r="628" spans="4:14" ht="14.25" customHeight="1">
      <c r="D628" s="1"/>
      <c r="N628" s="44"/>
    </row>
    <row r="629" spans="4:14" ht="14.25" customHeight="1">
      <c r="D629" s="1"/>
      <c r="N629" s="44"/>
    </row>
    <row r="630" spans="4:14" ht="14.25" customHeight="1">
      <c r="D630" s="1"/>
      <c r="N630" s="44"/>
    </row>
    <row r="631" spans="4:14" ht="14.25" customHeight="1">
      <c r="D631" s="1"/>
      <c r="N631" s="44"/>
    </row>
    <row r="632" spans="4:14" ht="14.25" customHeight="1">
      <c r="D632" s="1"/>
      <c r="N632" s="44"/>
    </row>
    <row r="633" spans="4:14" ht="14.25" customHeight="1">
      <c r="D633" s="1"/>
      <c r="N633" s="44"/>
    </row>
    <row r="634" spans="4:14" ht="14.25" customHeight="1">
      <c r="D634" s="1"/>
      <c r="N634" s="44"/>
    </row>
    <row r="635" spans="4:14" ht="14.25" customHeight="1">
      <c r="D635" s="1"/>
      <c r="N635" s="44"/>
    </row>
    <row r="636" spans="4:14" ht="14.25" customHeight="1">
      <c r="D636" s="1"/>
      <c r="N636" s="44"/>
    </row>
    <row r="637" spans="4:14" ht="14.25" customHeight="1">
      <c r="D637" s="1"/>
      <c r="N637" s="44"/>
    </row>
    <row r="638" spans="4:14" ht="14.25" customHeight="1">
      <c r="D638" s="1"/>
      <c r="N638" s="44"/>
    </row>
    <row r="639" spans="4:14" ht="14.25" customHeight="1">
      <c r="D639" s="1"/>
      <c r="N639" s="44"/>
    </row>
    <row r="640" spans="4:14" ht="14.25" customHeight="1">
      <c r="D640" s="1"/>
      <c r="N640" s="44"/>
    </row>
    <row r="641" spans="4:14" ht="14.25" customHeight="1">
      <c r="D641" s="1"/>
      <c r="N641" s="44"/>
    </row>
    <row r="642" spans="4:14" ht="14.25" customHeight="1">
      <c r="D642" s="1"/>
      <c r="N642" s="44"/>
    </row>
    <row r="643" spans="4:14" ht="14.25" customHeight="1">
      <c r="D643" s="1"/>
      <c r="N643" s="44"/>
    </row>
    <row r="644" spans="4:14" ht="14.25" customHeight="1">
      <c r="D644" s="1"/>
      <c r="N644" s="44"/>
    </row>
    <row r="645" spans="4:14" ht="14.25" customHeight="1">
      <c r="D645" s="1"/>
      <c r="N645" s="44"/>
    </row>
    <row r="646" spans="4:14" ht="14.25" customHeight="1">
      <c r="D646" s="1"/>
      <c r="N646" s="44"/>
    </row>
    <row r="647" spans="4:14" ht="14.25" customHeight="1">
      <c r="D647" s="1"/>
      <c r="N647" s="44"/>
    </row>
    <row r="648" spans="4:14" ht="14.25" customHeight="1">
      <c r="D648" s="1"/>
      <c r="N648" s="44"/>
    </row>
    <row r="649" spans="4:14" ht="14.25" customHeight="1">
      <c r="D649" s="1"/>
      <c r="N649" s="44"/>
    </row>
    <row r="650" spans="4:14" ht="14.25" customHeight="1">
      <c r="D650" s="1"/>
      <c r="N650" s="44"/>
    </row>
    <row r="651" spans="4:14" ht="14.25" customHeight="1">
      <c r="D651" s="1"/>
      <c r="N651" s="44"/>
    </row>
    <row r="652" spans="4:14" ht="14.25" customHeight="1">
      <c r="D652" s="1"/>
      <c r="N652" s="44"/>
    </row>
    <row r="653" spans="4:14" ht="14.25" customHeight="1">
      <c r="D653" s="1"/>
      <c r="N653" s="44"/>
    </row>
    <row r="654" spans="4:14" ht="14.25" customHeight="1">
      <c r="D654" s="1"/>
      <c r="N654" s="44"/>
    </row>
    <row r="655" spans="4:14" ht="14.25" customHeight="1">
      <c r="D655" s="1"/>
      <c r="N655" s="44"/>
    </row>
    <row r="656" spans="4:14" ht="14.25" customHeight="1">
      <c r="D656" s="1"/>
      <c r="N656" s="44"/>
    </row>
    <row r="657" spans="4:14" ht="14.25" customHeight="1">
      <c r="D657" s="1"/>
      <c r="N657" s="44"/>
    </row>
    <row r="658" spans="4:14" ht="14.25" customHeight="1">
      <c r="D658" s="1"/>
      <c r="N658" s="44"/>
    </row>
    <row r="659" spans="4:14" ht="14.25" customHeight="1">
      <c r="D659" s="1"/>
      <c r="N659" s="44"/>
    </row>
    <row r="660" spans="4:14" ht="14.25" customHeight="1">
      <c r="D660" s="1"/>
      <c r="N660" s="44"/>
    </row>
    <row r="661" spans="4:14" ht="14.25" customHeight="1">
      <c r="D661" s="1"/>
      <c r="N661" s="44"/>
    </row>
    <row r="662" spans="4:14" ht="14.25" customHeight="1">
      <c r="D662" s="1"/>
      <c r="N662" s="44"/>
    </row>
    <row r="663" spans="4:14" ht="14.25" customHeight="1">
      <c r="D663" s="1"/>
      <c r="N663" s="44"/>
    </row>
    <row r="664" spans="4:14" ht="14.25" customHeight="1">
      <c r="D664" s="1"/>
      <c r="N664" s="44"/>
    </row>
    <row r="665" spans="4:14" ht="14.25" customHeight="1">
      <c r="D665" s="1"/>
      <c r="N665" s="44"/>
    </row>
    <row r="666" spans="4:14" ht="14.25" customHeight="1">
      <c r="D666" s="1"/>
      <c r="N666" s="44"/>
    </row>
    <row r="667" spans="4:14" ht="14.25" customHeight="1">
      <c r="D667" s="1"/>
      <c r="N667" s="44"/>
    </row>
    <row r="668" spans="4:14" ht="14.25" customHeight="1">
      <c r="D668" s="1"/>
      <c r="N668" s="44"/>
    </row>
    <row r="669" spans="4:14" ht="14.25" customHeight="1">
      <c r="D669" s="1"/>
      <c r="N669" s="44"/>
    </row>
    <row r="670" spans="4:14" ht="14.25" customHeight="1">
      <c r="D670" s="1"/>
      <c r="N670" s="44"/>
    </row>
    <row r="671" spans="4:14" ht="14.25" customHeight="1">
      <c r="D671" s="1"/>
      <c r="N671" s="44"/>
    </row>
    <row r="672" spans="4:14" ht="14.25" customHeight="1">
      <c r="D672" s="1"/>
      <c r="N672" s="44"/>
    </row>
    <row r="673" spans="4:14" ht="14.25" customHeight="1">
      <c r="D673" s="1"/>
      <c r="N673" s="44"/>
    </row>
    <row r="674" spans="4:14" ht="14.25" customHeight="1">
      <c r="D674" s="1"/>
      <c r="N674" s="44"/>
    </row>
    <row r="675" spans="4:14" ht="14.25" customHeight="1">
      <c r="D675" s="1"/>
      <c r="N675" s="44"/>
    </row>
    <row r="676" spans="4:14" ht="14.25" customHeight="1">
      <c r="D676" s="1"/>
      <c r="N676" s="44"/>
    </row>
    <row r="677" spans="4:14" ht="14.25" customHeight="1">
      <c r="D677" s="1"/>
      <c r="N677" s="44"/>
    </row>
    <row r="678" spans="4:14" ht="14.25" customHeight="1">
      <c r="D678" s="1"/>
      <c r="N678" s="44"/>
    </row>
    <row r="679" spans="4:14" ht="14.25" customHeight="1">
      <c r="D679" s="1"/>
      <c r="N679" s="44"/>
    </row>
    <row r="680" spans="4:14" ht="14.25" customHeight="1">
      <c r="D680" s="1"/>
      <c r="N680" s="44"/>
    </row>
    <row r="681" spans="4:14" ht="14.25" customHeight="1">
      <c r="D681" s="1"/>
      <c r="N681" s="44"/>
    </row>
    <row r="682" spans="4:14" ht="14.25" customHeight="1">
      <c r="D682" s="1"/>
      <c r="N682" s="44"/>
    </row>
    <row r="683" spans="4:14" ht="14.25" customHeight="1">
      <c r="D683" s="1"/>
      <c r="N683" s="44"/>
    </row>
    <row r="684" spans="4:14" ht="14.25" customHeight="1">
      <c r="D684" s="1"/>
      <c r="N684" s="44"/>
    </row>
    <row r="685" spans="4:14" ht="14.25" customHeight="1">
      <c r="D685" s="1"/>
      <c r="N685" s="44"/>
    </row>
    <row r="686" spans="4:14" ht="14.25" customHeight="1">
      <c r="D686" s="1"/>
      <c r="N686" s="44"/>
    </row>
    <row r="687" spans="4:14" ht="14.25" customHeight="1">
      <c r="D687" s="1"/>
      <c r="N687" s="44"/>
    </row>
    <row r="688" spans="4:14" ht="14.25" customHeight="1">
      <c r="D688" s="1"/>
      <c r="N688" s="44"/>
    </row>
    <row r="689" spans="4:14" ht="14.25" customHeight="1">
      <c r="D689" s="1"/>
      <c r="N689" s="44"/>
    </row>
    <row r="690" spans="4:14" ht="14.25" customHeight="1">
      <c r="D690" s="1"/>
      <c r="N690" s="44"/>
    </row>
    <row r="691" spans="4:14" ht="14.25" customHeight="1">
      <c r="D691" s="1"/>
      <c r="N691" s="44"/>
    </row>
    <row r="692" spans="4:14" ht="14.25" customHeight="1">
      <c r="D692" s="1"/>
      <c r="N692" s="44"/>
    </row>
    <row r="693" spans="4:14" ht="14.25" customHeight="1">
      <c r="D693" s="1"/>
      <c r="N693" s="44"/>
    </row>
    <row r="694" spans="4:14" ht="14.25" customHeight="1">
      <c r="D694" s="1"/>
      <c r="N694" s="44"/>
    </row>
    <row r="695" spans="4:14" ht="14.25" customHeight="1">
      <c r="D695" s="1"/>
      <c r="N695" s="44"/>
    </row>
    <row r="696" spans="4:14" ht="14.25" customHeight="1">
      <c r="D696" s="1"/>
      <c r="N696" s="44"/>
    </row>
    <row r="697" spans="4:14" ht="14.25" customHeight="1">
      <c r="D697" s="1"/>
      <c r="N697" s="44"/>
    </row>
    <row r="698" spans="4:14" ht="14.25" customHeight="1">
      <c r="D698" s="1"/>
      <c r="N698" s="44"/>
    </row>
    <row r="699" spans="4:14" ht="14.25" customHeight="1">
      <c r="D699" s="1"/>
      <c r="N699" s="44"/>
    </row>
    <row r="700" spans="4:14" ht="14.25" customHeight="1">
      <c r="D700" s="1"/>
      <c r="N700" s="44"/>
    </row>
    <row r="701" spans="4:14" ht="14.25" customHeight="1">
      <c r="D701" s="1"/>
      <c r="N701" s="44"/>
    </row>
    <row r="702" spans="4:14" ht="14.25" customHeight="1">
      <c r="D702" s="1"/>
      <c r="N702" s="44"/>
    </row>
    <row r="703" spans="4:14" ht="14.25" customHeight="1">
      <c r="D703" s="1"/>
      <c r="N703" s="44"/>
    </row>
    <row r="704" spans="4:14" ht="14.25" customHeight="1">
      <c r="D704" s="1"/>
      <c r="N704" s="44"/>
    </row>
    <row r="705" spans="4:14" ht="14.25" customHeight="1">
      <c r="D705" s="1"/>
      <c r="N705" s="44"/>
    </row>
    <row r="706" spans="4:14" ht="14.25" customHeight="1">
      <c r="D706" s="1"/>
      <c r="N706" s="44"/>
    </row>
    <row r="707" spans="4:14" ht="14.25" customHeight="1">
      <c r="D707" s="1"/>
      <c r="N707" s="44"/>
    </row>
    <row r="708" spans="4:14" ht="14.25" customHeight="1">
      <c r="D708" s="1"/>
      <c r="N708" s="44"/>
    </row>
    <row r="709" spans="4:14" ht="14.25" customHeight="1">
      <c r="D709" s="1"/>
      <c r="N709" s="44"/>
    </row>
    <row r="710" spans="4:14" ht="14.25" customHeight="1">
      <c r="D710" s="1"/>
      <c r="N710" s="44"/>
    </row>
    <row r="711" spans="4:14" ht="14.25" customHeight="1">
      <c r="D711" s="1"/>
      <c r="N711" s="44"/>
    </row>
    <row r="712" spans="4:14" ht="14.25" customHeight="1">
      <c r="D712" s="1"/>
      <c r="N712" s="44"/>
    </row>
    <row r="713" spans="4:14" ht="14.25" customHeight="1">
      <c r="D713" s="1"/>
      <c r="N713" s="44"/>
    </row>
    <row r="714" spans="4:14" ht="14.25" customHeight="1">
      <c r="D714" s="1"/>
      <c r="N714" s="44"/>
    </row>
    <row r="715" spans="4:14" ht="14.25" customHeight="1">
      <c r="D715" s="1"/>
      <c r="N715" s="44"/>
    </row>
    <row r="716" spans="4:14" ht="14.25" customHeight="1">
      <c r="D716" s="1"/>
      <c r="N716" s="44"/>
    </row>
    <row r="717" spans="4:14" ht="14.25" customHeight="1">
      <c r="D717" s="1"/>
      <c r="N717" s="44"/>
    </row>
    <row r="718" spans="4:14" ht="14.25" customHeight="1">
      <c r="D718" s="1"/>
      <c r="N718" s="44"/>
    </row>
    <row r="719" spans="4:14" ht="14.25" customHeight="1">
      <c r="D719" s="1"/>
      <c r="N719" s="44"/>
    </row>
    <row r="720" spans="4:14" ht="14.25" customHeight="1">
      <c r="D720" s="1"/>
      <c r="N720" s="44"/>
    </row>
    <row r="721" spans="4:14" ht="14.25" customHeight="1">
      <c r="D721" s="1"/>
      <c r="N721" s="44"/>
    </row>
    <row r="722" spans="4:14" ht="14.25" customHeight="1">
      <c r="D722" s="1"/>
      <c r="N722" s="44"/>
    </row>
    <row r="723" spans="4:14" ht="14.25" customHeight="1">
      <c r="D723" s="1"/>
      <c r="N723" s="44"/>
    </row>
    <row r="724" spans="4:14" ht="14.25" customHeight="1">
      <c r="D724" s="1"/>
      <c r="N724" s="44"/>
    </row>
    <row r="725" spans="4:14" ht="14.25" customHeight="1">
      <c r="D725" s="1"/>
      <c r="N725" s="44"/>
    </row>
    <row r="726" spans="4:14" ht="14.25" customHeight="1">
      <c r="D726" s="1"/>
      <c r="N726" s="44"/>
    </row>
    <row r="727" spans="4:14" ht="14.25" customHeight="1">
      <c r="D727" s="1"/>
      <c r="N727" s="44"/>
    </row>
    <row r="728" spans="4:14" ht="14.25" customHeight="1">
      <c r="D728" s="1"/>
      <c r="N728" s="44"/>
    </row>
    <row r="729" spans="4:14" ht="14.25" customHeight="1">
      <c r="D729" s="1"/>
      <c r="N729" s="44"/>
    </row>
    <row r="730" spans="4:14" ht="14.25" customHeight="1">
      <c r="D730" s="1"/>
      <c r="N730" s="44"/>
    </row>
    <row r="731" spans="4:14" ht="14.25" customHeight="1">
      <c r="D731" s="1"/>
      <c r="N731" s="44"/>
    </row>
    <row r="732" spans="4:14" ht="14.25" customHeight="1">
      <c r="D732" s="1"/>
      <c r="N732" s="44"/>
    </row>
    <row r="733" spans="4:14" ht="14.25" customHeight="1">
      <c r="D733" s="1"/>
      <c r="N733" s="44"/>
    </row>
    <row r="734" spans="4:14" ht="14.25" customHeight="1">
      <c r="D734" s="1"/>
      <c r="N734" s="44"/>
    </row>
    <row r="735" spans="4:14" ht="14.25" customHeight="1">
      <c r="D735" s="1"/>
      <c r="N735" s="44"/>
    </row>
    <row r="736" spans="4:14" ht="14.25" customHeight="1">
      <c r="D736" s="1"/>
      <c r="N736" s="44"/>
    </row>
    <row r="737" spans="4:14" ht="14.25" customHeight="1">
      <c r="D737" s="1"/>
      <c r="N737" s="44"/>
    </row>
    <row r="738" spans="4:14" ht="14.25" customHeight="1">
      <c r="D738" s="1"/>
      <c r="N738" s="44"/>
    </row>
    <row r="739" spans="4:14" ht="14.25" customHeight="1">
      <c r="D739" s="1"/>
      <c r="N739" s="44"/>
    </row>
    <row r="740" spans="4:14" ht="14.25" customHeight="1">
      <c r="D740" s="1"/>
      <c r="N740" s="44"/>
    </row>
    <row r="741" spans="4:14" ht="14.25" customHeight="1">
      <c r="D741" s="1"/>
      <c r="N741" s="44"/>
    </row>
    <row r="742" spans="4:14" ht="14.25" customHeight="1">
      <c r="D742" s="1"/>
      <c r="N742" s="44"/>
    </row>
    <row r="743" spans="4:14" ht="14.25" customHeight="1">
      <c r="D743" s="1"/>
      <c r="N743" s="44"/>
    </row>
    <row r="744" spans="4:14" ht="14.25" customHeight="1">
      <c r="D744" s="1"/>
      <c r="N744" s="44"/>
    </row>
    <row r="745" spans="4:14" ht="14.25" customHeight="1">
      <c r="D745" s="1"/>
      <c r="N745" s="44"/>
    </row>
    <row r="746" spans="4:14" ht="14.25" customHeight="1">
      <c r="D746" s="1"/>
      <c r="N746" s="44"/>
    </row>
    <row r="747" spans="4:14" ht="14.25" customHeight="1">
      <c r="D747" s="1"/>
      <c r="N747" s="44"/>
    </row>
    <row r="748" spans="4:14" ht="14.25" customHeight="1">
      <c r="D748" s="1"/>
      <c r="N748" s="44"/>
    </row>
    <row r="749" spans="4:14" ht="14.25" customHeight="1">
      <c r="D749" s="1"/>
      <c r="N749" s="44"/>
    </row>
    <row r="750" spans="4:14" ht="14.25" customHeight="1">
      <c r="D750" s="1"/>
      <c r="N750" s="44"/>
    </row>
    <row r="751" spans="4:14" ht="14.25" customHeight="1">
      <c r="D751" s="1"/>
      <c r="N751" s="44"/>
    </row>
    <row r="752" spans="4:14" ht="14.25" customHeight="1">
      <c r="D752" s="1"/>
      <c r="N752" s="44"/>
    </row>
    <row r="753" spans="4:14" ht="14.25" customHeight="1">
      <c r="D753" s="1"/>
      <c r="N753" s="44"/>
    </row>
    <row r="754" spans="4:14" ht="14.25" customHeight="1">
      <c r="D754" s="1"/>
      <c r="N754" s="44"/>
    </row>
    <row r="755" spans="4:14" ht="14.25" customHeight="1">
      <c r="D755" s="1"/>
      <c r="N755" s="44"/>
    </row>
    <row r="756" spans="4:14" ht="14.25" customHeight="1">
      <c r="D756" s="1"/>
      <c r="N756" s="44"/>
    </row>
    <row r="757" spans="4:14" ht="14.25" customHeight="1">
      <c r="D757" s="1"/>
      <c r="N757" s="44"/>
    </row>
    <row r="758" spans="4:14" ht="14.25" customHeight="1">
      <c r="D758" s="1"/>
      <c r="N758" s="44"/>
    </row>
    <row r="759" spans="4:14" ht="14.25" customHeight="1">
      <c r="D759" s="1"/>
      <c r="N759" s="44"/>
    </row>
    <row r="760" spans="4:14" ht="14.25" customHeight="1">
      <c r="D760" s="1"/>
      <c r="N760" s="44"/>
    </row>
    <row r="761" spans="4:14" ht="14.25" customHeight="1">
      <c r="D761" s="1"/>
      <c r="N761" s="44"/>
    </row>
    <row r="762" spans="4:14" ht="14.25" customHeight="1">
      <c r="D762" s="1"/>
      <c r="N762" s="44"/>
    </row>
    <row r="763" spans="4:14" ht="14.25" customHeight="1">
      <c r="D763" s="1"/>
      <c r="N763" s="44"/>
    </row>
    <row r="764" spans="4:14" ht="14.25" customHeight="1">
      <c r="D764" s="1"/>
      <c r="N764" s="44"/>
    </row>
    <row r="765" spans="4:14" ht="14.25" customHeight="1">
      <c r="D765" s="1"/>
      <c r="N765" s="44"/>
    </row>
    <row r="766" spans="4:14" ht="14.25" customHeight="1">
      <c r="D766" s="1"/>
      <c r="N766" s="44"/>
    </row>
    <row r="767" spans="4:14" ht="14.25" customHeight="1">
      <c r="D767" s="1"/>
      <c r="N767" s="44"/>
    </row>
    <row r="768" spans="4:14" ht="14.25" customHeight="1">
      <c r="D768" s="1"/>
      <c r="N768" s="44"/>
    </row>
    <row r="769" spans="4:14" ht="14.25" customHeight="1">
      <c r="D769" s="1"/>
      <c r="N769" s="44"/>
    </row>
    <row r="770" spans="4:14" ht="14.25" customHeight="1">
      <c r="D770" s="1"/>
      <c r="N770" s="44"/>
    </row>
    <row r="771" spans="4:14" ht="14.25" customHeight="1">
      <c r="D771" s="1"/>
      <c r="N771" s="44"/>
    </row>
    <row r="772" spans="4:14" ht="14.25" customHeight="1">
      <c r="D772" s="1"/>
      <c r="N772" s="44"/>
    </row>
    <row r="773" spans="4:14" ht="14.25" customHeight="1">
      <c r="D773" s="1"/>
      <c r="N773" s="44"/>
    </row>
    <row r="774" spans="4:14" ht="14.25" customHeight="1">
      <c r="D774" s="1"/>
      <c r="N774" s="44"/>
    </row>
    <row r="775" spans="4:14" ht="14.25" customHeight="1">
      <c r="D775" s="1"/>
      <c r="N775" s="44"/>
    </row>
    <row r="776" spans="4:14" ht="14.25" customHeight="1">
      <c r="D776" s="1"/>
      <c r="N776" s="44"/>
    </row>
    <row r="777" spans="4:14" ht="14.25" customHeight="1">
      <c r="D777" s="1"/>
      <c r="N777" s="44"/>
    </row>
    <row r="778" spans="4:14" ht="14.25" customHeight="1">
      <c r="D778" s="1"/>
      <c r="N778" s="44"/>
    </row>
    <row r="779" spans="4:14" ht="14.25" customHeight="1">
      <c r="D779" s="1"/>
      <c r="N779" s="44"/>
    </row>
    <row r="780" spans="4:14" ht="14.25" customHeight="1">
      <c r="D780" s="1"/>
      <c r="N780" s="44"/>
    </row>
    <row r="781" spans="4:14" ht="14.25" customHeight="1">
      <c r="D781" s="1"/>
      <c r="N781" s="44"/>
    </row>
    <row r="782" spans="4:14" ht="14.25" customHeight="1">
      <c r="D782" s="1"/>
      <c r="N782" s="44"/>
    </row>
    <row r="783" spans="4:14" ht="14.25" customHeight="1">
      <c r="D783" s="1"/>
      <c r="N783" s="44"/>
    </row>
    <row r="784" spans="4:14" ht="14.25" customHeight="1">
      <c r="D784" s="1"/>
      <c r="N784" s="44"/>
    </row>
    <row r="785" spans="4:14" ht="14.25" customHeight="1">
      <c r="D785" s="1"/>
      <c r="N785" s="44"/>
    </row>
    <row r="786" spans="4:14" ht="14.25" customHeight="1">
      <c r="D786" s="1"/>
      <c r="N786" s="44"/>
    </row>
    <row r="787" spans="4:14" ht="14.25" customHeight="1">
      <c r="D787" s="1"/>
      <c r="N787" s="44"/>
    </row>
    <row r="788" spans="4:14" ht="14.25" customHeight="1">
      <c r="D788" s="1"/>
      <c r="N788" s="44"/>
    </row>
    <row r="789" spans="4:14" ht="14.25" customHeight="1">
      <c r="D789" s="1"/>
      <c r="N789" s="44"/>
    </row>
    <row r="790" spans="4:14" ht="14.25" customHeight="1">
      <c r="D790" s="1"/>
      <c r="N790" s="44"/>
    </row>
    <row r="791" spans="4:14" ht="14.25" customHeight="1">
      <c r="D791" s="1"/>
      <c r="N791" s="44"/>
    </row>
    <row r="792" spans="4:14" ht="14.25" customHeight="1">
      <c r="D792" s="1"/>
      <c r="N792" s="44"/>
    </row>
    <row r="793" spans="4:14" ht="14.25" customHeight="1">
      <c r="D793" s="1"/>
      <c r="N793" s="44"/>
    </row>
    <row r="794" spans="4:14" ht="14.25" customHeight="1">
      <c r="D794" s="1"/>
      <c r="N794" s="44"/>
    </row>
    <row r="795" spans="4:14" ht="14.25" customHeight="1">
      <c r="D795" s="1"/>
      <c r="N795" s="44"/>
    </row>
    <row r="796" spans="4:14" ht="14.25" customHeight="1">
      <c r="D796" s="1"/>
      <c r="N796" s="44"/>
    </row>
    <row r="797" spans="4:14" ht="14.25" customHeight="1">
      <c r="D797" s="1"/>
      <c r="N797" s="44"/>
    </row>
    <row r="798" spans="4:14" ht="14.25" customHeight="1">
      <c r="D798" s="1"/>
      <c r="N798" s="44"/>
    </row>
    <row r="799" spans="4:14" ht="14.25" customHeight="1">
      <c r="D799" s="1"/>
      <c r="N799" s="44"/>
    </row>
    <row r="800" spans="4:14" ht="14.25" customHeight="1">
      <c r="D800" s="1"/>
      <c r="N800" s="44"/>
    </row>
    <row r="801" spans="4:14" ht="14.25" customHeight="1">
      <c r="D801" s="1"/>
      <c r="N801" s="44"/>
    </row>
    <row r="802" spans="4:14" ht="14.25" customHeight="1">
      <c r="D802" s="1"/>
      <c r="N802" s="44"/>
    </row>
    <row r="803" spans="4:14" ht="14.25" customHeight="1">
      <c r="D803" s="1"/>
      <c r="N803" s="44"/>
    </row>
    <row r="804" spans="4:14" ht="14.25" customHeight="1">
      <c r="D804" s="1"/>
      <c r="N804" s="44"/>
    </row>
    <row r="805" spans="4:14" ht="14.25" customHeight="1">
      <c r="D805" s="1"/>
      <c r="N805" s="44"/>
    </row>
    <row r="806" spans="4:14" ht="14.25" customHeight="1">
      <c r="D806" s="1"/>
      <c r="N806" s="44"/>
    </row>
    <row r="807" spans="4:14" ht="14.25" customHeight="1">
      <c r="D807" s="1"/>
      <c r="N807" s="44"/>
    </row>
    <row r="808" spans="4:14" ht="14.25" customHeight="1">
      <c r="D808" s="1"/>
      <c r="N808" s="44"/>
    </row>
    <row r="809" spans="4:14" ht="14.25" customHeight="1">
      <c r="D809" s="1"/>
      <c r="N809" s="44"/>
    </row>
    <row r="810" spans="4:14" ht="14.25" customHeight="1">
      <c r="D810" s="1"/>
      <c r="N810" s="44"/>
    </row>
    <row r="811" spans="4:14" ht="14.25" customHeight="1">
      <c r="D811" s="1"/>
      <c r="N811" s="44"/>
    </row>
    <row r="812" spans="4:14" ht="14.25" customHeight="1">
      <c r="D812" s="1"/>
      <c r="N812" s="44"/>
    </row>
    <row r="813" spans="4:14" ht="14.25" customHeight="1">
      <c r="D813" s="1"/>
      <c r="N813" s="44"/>
    </row>
    <row r="814" spans="4:14" ht="14.25" customHeight="1">
      <c r="D814" s="1"/>
      <c r="N814" s="44"/>
    </row>
    <row r="815" spans="4:14" ht="14.25" customHeight="1">
      <c r="D815" s="1"/>
      <c r="N815" s="44"/>
    </row>
    <row r="816" spans="4:14" ht="14.25" customHeight="1">
      <c r="D816" s="1"/>
      <c r="N816" s="44"/>
    </row>
    <row r="817" spans="4:14" ht="14.25" customHeight="1">
      <c r="D817" s="1"/>
      <c r="N817" s="44"/>
    </row>
    <row r="818" spans="4:14" ht="14.25" customHeight="1">
      <c r="D818" s="1"/>
      <c r="N818" s="44"/>
    </row>
    <row r="819" spans="4:14" ht="14.25" customHeight="1">
      <c r="D819" s="1"/>
      <c r="N819" s="44"/>
    </row>
    <row r="820" spans="4:14" ht="14.25" customHeight="1">
      <c r="D820" s="1"/>
      <c r="N820" s="44"/>
    </row>
    <row r="821" spans="4:14" ht="14.25" customHeight="1">
      <c r="D821" s="1"/>
      <c r="N821" s="44"/>
    </row>
    <row r="822" spans="4:14" ht="14.25" customHeight="1">
      <c r="D822" s="1"/>
      <c r="N822" s="44"/>
    </row>
    <row r="823" spans="4:14" ht="14.25" customHeight="1">
      <c r="D823" s="1"/>
      <c r="N823" s="44"/>
    </row>
    <row r="824" spans="4:14" ht="14.25" customHeight="1">
      <c r="D824" s="1"/>
      <c r="N824" s="44"/>
    </row>
    <row r="825" spans="4:14" ht="14.25" customHeight="1">
      <c r="D825" s="1"/>
      <c r="N825" s="44"/>
    </row>
    <row r="826" spans="4:14" ht="14.25" customHeight="1">
      <c r="D826" s="1"/>
      <c r="N826" s="44"/>
    </row>
    <row r="827" spans="4:14" ht="14.25" customHeight="1">
      <c r="D827" s="1"/>
      <c r="N827" s="44"/>
    </row>
    <row r="828" spans="4:14" ht="14.25" customHeight="1">
      <c r="D828" s="1"/>
      <c r="N828" s="44"/>
    </row>
    <row r="829" spans="4:14" ht="14.25" customHeight="1">
      <c r="D829" s="1"/>
      <c r="N829" s="44"/>
    </row>
    <row r="830" spans="4:14" ht="14.25" customHeight="1">
      <c r="D830" s="1"/>
      <c r="N830" s="44"/>
    </row>
    <row r="831" spans="4:14" ht="14.25" customHeight="1">
      <c r="D831" s="1"/>
      <c r="N831" s="44"/>
    </row>
    <row r="832" spans="4:14" ht="14.25" customHeight="1">
      <c r="D832" s="1"/>
      <c r="N832" s="44"/>
    </row>
    <row r="833" spans="4:14" ht="14.25" customHeight="1">
      <c r="D833" s="1"/>
      <c r="N833" s="44"/>
    </row>
    <row r="834" spans="4:14" ht="14.25" customHeight="1">
      <c r="D834" s="1"/>
      <c r="N834" s="44"/>
    </row>
    <row r="835" spans="4:14" ht="14.25" customHeight="1">
      <c r="D835" s="1"/>
      <c r="N835" s="44"/>
    </row>
    <row r="836" spans="4:14" ht="14.25" customHeight="1">
      <c r="D836" s="1"/>
      <c r="N836" s="44"/>
    </row>
    <row r="837" spans="4:14" ht="14.25" customHeight="1">
      <c r="D837" s="1"/>
      <c r="N837" s="44"/>
    </row>
    <row r="838" spans="4:14" ht="14.25" customHeight="1">
      <c r="D838" s="1"/>
      <c r="N838" s="44"/>
    </row>
    <row r="839" spans="4:14" ht="14.25" customHeight="1">
      <c r="D839" s="1"/>
      <c r="N839" s="44"/>
    </row>
    <row r="840" spans="4:14" ht="14.25" customHeight="1">
      <c r="D840" s="1"/>
      <c r="N840" s="44"/>
    </row>
    <row r="841" spans="4:14" ht="14.25" customHeight="1">
      <c r="D841" s="1"/>
      <c r="N841" s="44"/>
    </row>
    <row r="842" spans="4:14" ht="14.25" customHeight="1">
      <c r="D842" s="1"/>
      <c r="N842" s="44"/>
    </row>
    <row r="843" spans="4:14" ht="14.25" customHeight="1">
      <c r="D843" s="1"/>
      <c r="N843" s="44"/>
    </row>
    <row r="844" spans="4:14" ht="14.25" customHeight="1">
      <c r="D844" s="1"/>
      <c r="N844" s="44"/>
    </row>
    <row r="845" spans="4:14" ht="14.25" customHeight="1">
      <c r="D845" s="1"/>
      <c r="N845" s="44"/>
    </row>
    <row r="846" spans="4:14" ht="14.25" customHeight="1">
      <c r="D846" s="1"/>
      <c r="N846" s="44"/>
    </row>
    <row r="847" spans="4:14" ht="14.25" customHeight="1">
      <c r="D847" s="1"/>
      <c r="N847" s="44"/>
    </row>
    <row r="848" spans="4:14" ht="14.25" customHeight="1">
      <c r="D848" s="1"/>
      <c r="N848" s="44"/>
    </row>
    <row r="849" spans="4:14" ht="14.25" customHeight="1">
      <c r="D849" s="1"/>
      <c r="N849" s="44"/>
    </row>
    <row r="850" spans="4:14" ht="14.25" customHeight="1">
      <c r="D850" s="1"/>
      <c r="N850" s="44"/>
    </row>
    <row r="851" spans="4:14" ht="14.25" customHeight="1">
      <c r="D851" s="1"/>
      <c r="N851" s="44"/>
    </row>
    <row r="852" spans="4:14" ht="14.25" customHeight="1">
      <c r="D852" s="1"/>
      <c r="N852" s="44"/>
    </row>
    <row r="853" spans="4:14" ht="14.25" customHeight="1">
      <c r="D853" s="1"/>
      <c r="N853" s="44"/>
    </row>
    <row r="854" spans="4:14" ht="14.25" customHeight="1">
      <c r="D854" s="1"/>
      <c r="N854" s="44"/>
    </row>
    <row r="855" spans="4:14" ht="14.25" customHeight="1">
      <c r="D855" s="1"/>
      <c r="N855" s="44"/>
    </row>
    <row r="856" spans="4:14" ht="14.25" customHeight="1">
      <c r="D856" s="1"/>
      <c r="N856" s="44"/>
    </row>
    <row r="857" spans="4:14" ht="14.25" customHeight="1">
      <c r="D857" s="1"/>
      <c r="N857" s="44"/>
    </row>
    <row r="858" spans="4:14" ht="14.25" customHeight="1">
      <c r="D858" s="1"/>
      <c r="N858" s="44"/>
    </row>
    <row r="859" spans="4:14" ht="14.25" customHeight="1">
      <c r="D859" s="1"/>
      <c r="N859" s="44"/>
    </row>
    <row r="860" spans="4:14" ht="14.25" customHeight="1">
      <c r="D860" s="1"/>
      <c r="N860" s="44"/>
    </row>
    <row r="861" spans="4:14" ht="14.25" customHeight="1">
      <c r="D861" s="1"/>
      <c r="N861" s="44"/>
    </row>
    <row r="862" spans="4:14" ht="14.25" customHeight="1">
      <c r="D862" s="1"/>
      <c r="N862" s="44"/>
    </row>
    <row r="863" spans="4:14" ht="14.25" customHeight="1">
      <c r="D863" s="1"/>
      <c r="N863" s="44"/>
    </row>
    <row r="864" spans="4:14" ht="14.25" customHeight="1">
      <c r="D864" s="1"/>
      <c r="N864" s="44"/>
    </row>
    <row r="865" spans="4:14" ht="14.25" customHeight="1">
      <c r="D865" s="1"/>
      <c r="N865" s="44"/>
    </row>
    <row r="866" spans="4:14" ht="14.25" customHeight="1">
      <c r="D866" s="1"/>
      <c r="N866" s="44"/>
    </row>
    <row r="867" spans="4:14" ht="14.25" customHeight="1">
      <c r="D867" s="1"/>
      <c r="N867" s="44"/>
    </row>
    <row r="868" spans="4:14" ht="14.25" customHeight="1">
      <c r="D868" s="1"/>
      <c r="N868" s="44"/>
    </row>
    <row r="869" spans="4:14" ht="14.25" customHeight="1">
      <c r="D869" s="1"/>
      <c r="N869" s="44"/>
    </row>
    <row r="870" spans="4:14" ht="14.25" customHeight="1">
      <c r="D870" s="1"/>
      <c r="N870" s="44"/>
    </row>
    <row r="871" spans="4:14" ht="14.25" customHeight="1">
      <c r="D871" s="1"/>
      <c r="N871" s="44"/>
    </row>
    <row r="872" spans="4:14" ht="14.25" customHeight="1">
      <c r="D872" s="1"/>
      <c r="N872" s="44"/>
    </row>
    <row r="873" spans="4:14" ht="14.25" customHeight="1">
      <c r="D873" s="1"/>
      <c r="N873" s="44"/>
    </row>
    <row r="874" spans="4:14" ht="14.25" customHeight="1">
      <c r="D874" s="1"/>
      <c r="N874" s="44"/>
    </row>
    <row r="875" spans="4:14" ht="14.25" customHeight="1">
      <c r="D875" s="1"/>
      <c r="N875" s="44"/>
    </row>
    <row r="876" spans="4:14" ht="14.25" customHeight="1">
      <c r="D876" s="1"/>
      <c r="N876" s="44"/>
    </row>
    <row r="877" spans="4:14" ht="14.25" customHeight="1">
      <c r="D877" s="1"/>
      <c r="N877" s="44"/>
    </row>
    <row r="878" spans="4:14" ht="14.25" customHeight="1">
      <c r="D878" s="1"/>
      <c r="N878" s="44"/>
    </row>
    <row r="879" spans="4:14" ht="14.25" customHeight="1">
      <c r="D879" s="1"/>
      <c r="N879" s="44"/>
    </row>
    <row r="880" spans="4:14" ht="14.25" customHeight="1">
      <c r="D880" s="1"/>
      <c r="N880" s="44"/>
    </row>
    <row r="881" spans="4:14" ht="14.25" customHeight="1">
      <c r="D881" s="1"/>
      <c r="N881" s="44"/>
    </row>
    <row r="882" spans="4:14" ht="14.25" customHeight="1">
      <c r="D882" s="1"/>
      <c r="N882" s="44"/>
    </row>
    <row r="883" spans="4:14" ht="14.25" customHeight="1">
      <c r="D883" s="1"/>
      <c r="N883" s="44"/>
    </row>
    <row r="884" spans="4:14" ht="14.25" customHeight="1">
      <c r="D884" s="1"/>
      <c r="N884" s="44"/>
    </row>
    <row r="885" spans="4:14" ht="14.25" customHeight="1">
      <c r="D885" s="1"/>
      <c r="N885" s="44"/>
    </row>
    <row r="886" spans="4:14" ht="14.25" customHeight="1">
      <c r="D886" s="1"/>
      <c r="N886" s="44"/>
    </row>
    <row r="887" spans="4:14" ht="14.25" customHeight="1">
      <c r="D887" s="1"/>
      <c r="N887" s="44"/>
    </row>
    <row r="888" spans="4:14" ht="14.25" customHeight="1">
      <c r="D888" s="1"/>
      <c r="N888" s="44"/>
    </row>
    <row r="889" spans="4:14" ht="14.25" customHeight="1">
      <c r="D889" s="1"/>
      <c r="N889" s="44"/>
    </row>
    <row r="890" spans="4:14" ht="14.25" customHeight="1">
      <c r="D890" s="1"/>
      <c r="N890" s="44"/>
    </row>
    <row r="891" spans="4:14" ht="14.25" customHeight="1">
      <c r="D891" s="1"/>
      <c r="N891" s="44"/>
    </row>
    <row r="892" spans="4:14" ht="14.25" customHeight="1">
      <c r="D892" s="1"/>
      <c r="N892" s="44"/>
    </row>
    <row r="893" spans="4:14" ht="14.25" customHeight="1">
      <c r="D893" s="1"/>
      <c r="N893" s="44"/>
    </row>
    <row r="894" spans="4:14" ht="14.25" customHeight="1">
      <c r="D894" s="1"/>
      <c r="N894" s="44"/>
    </row>
    <row r="895" spans="4:14" ht="14.25" customHeight="1">
      <c r="D895" s="1"/>
      <c r="N895" s="44"/>
    </row>
    <row r="896" spans="4:14" ht="14.25" customHeight="1">
      <c r="D896" s="1"/>
      <c r="N896" s="44"/>
    </row>
    <row r="897" spans="4:14" ht="14.25" customHeight="1">
      <c r="D897" s="1"/>
      <c r="N897" s="44"/>
    </row>
    <row r="898" spans="4:14" ht="14.25" customHeight="1">
      <c r="D898" s="1"/>
      <c r="N898" s="44"/>
    </row>
    <row r="899" spans="4:14" ht="14.25" customHeight="1">
      <c r="D899" s="1"/>
      <c r="N899" s="44"/>
    </row>
    <row r="900" spans="4:14" ht="14.25" customHeight="1">
      <c r="D900" s="1"/>
      <c r="N900" s="44"/>
    </row>
    <row r="901" spans="4:14" ht="14.25" customHeight="1">
      <c r="D901" s="1"/>
      <c r="N901" s="44"/>
    </row>
    <row r="902" spans="4:14" ht="14.25" customHeight="1">
      <c r="D902" s="1"/>
      <c r="N902" s="44"/>
    </row>
    <row r="903" spans="4:14" ht="14.25" customHeight="1">
      <c r="D903" s="1"/>
      <c r="N903" s="44"/>
    </row>
    <row r="904" spans="4:14" ht="14.25" customHeight="1">
      <c r="D904" s="1"/>
      <c r="N904" s="44"/>
    </row>
    <row r="905" spans="4:14" ht="14.25" customHeight="1">
      <c r="D905" s="1"/>
      <c r="N905" s="44"/>
    </row>
    <row r="906" spans="4:14" ht="14.25" customHeight="1">
      <c r="D906" s="1"/>
      <c r="N906" s="44"/>
    </row>
    <row r="907" spans="4:14" ht="14.25" customHeight="1">
      <c r="D907" s="1"/>
      <c r="N907" s="44"/>
    </row>
    <row r="908" spans="4:14" ht="14.25" customHeight="1">
      <c r="D908" s="1"/>
      <c r="N908" s="44"/>
    </row>
    <row r="909" spans="4:14" ht="14.25" customHeight="1">
      <c r="D909" s="1"/>
      <c r="N909" s="44"/>
    </row>
    <row r="910" spans="4:14" ht="14.25" customHeight="1">
      <c r="D910" s="1"/>
      <c r="N910" s="44"/>
    </row>
    <row r="911" spans="4:14" ht="14.25" customHeight="1">
      <c r="D911" s="1"/>
      <c r="N911" s="44"/>
    </row>
    <row r="912" spans="4:14" ht="14.25" customHeight="1">
      <c r="D912" s="1"/>
      <c r="N912" s="44"/>
    </row>
    <row r="913" spans="4:14" ht="14.25" customHeight="1">
      <c r="D913" s="1"/>
      <c r="N913" s="44"/>
    </row>
    <row r="914" spans="4:14" ht="14.25" customHeight="1">
      <c r="D914" s="1"/>
      <c r="N914" s="44"/>
    </row>
    <row r="915" spans="4:14" ht="14.25" customHeight="1">
      <c r="D915" s="1"/>
      <c r="N915" s="44"/>
    </row>
    <row r="916" spans="4:14" ht="14.25" customHeight="1">
      <c r="D916" s="1"/>
      <c r="N916" s="44"/>
    </row>
    <row r="917" spans="4:14" ht="14.25" customHeight="1">
      <c r="D917" s="1"/>
      <c r="N917" s="44"/>
    </row>
    <row r="918" spans="4:14" ht="14.25" customHeight="1">
      <c r="D918" s="1"/>
      <c r="N918" s="44"/>
    </row>
    <row r="919" spans="4:14" ht="14.25" customHeight="1">
      <c r="D919" s="1"/>
      <c r="N919" s="44"/>
    </row>
    <row r="920" spans="4:14" ht="14.25" customHeight="1">
      <c r="D920" s="1"/>
      <c r="N920" s="44"/>
    </row>
    <row r="921" spans="4:14" ht="14.25" customHeight="1">
      <c r="D921" s="1"/>
      <c r="N921" s="44"/>
    </row>
    <row r="922" spans="4:14" ht="14.25" customHeight="1">
      <c r="D922" s="1"/>
      <c r="N922" s="44"/>
    </row>
    <row r="923" spans="4:14" ht="14.25" customHeight="1">
      <c r="D923" s="1"/>
      <c r="N923" s="44"/>
    </row>
    <row r="924" spans="4:14" ht="14.25" customHeight="1">
      <c r="D924" s="1"/>
      <c r="N924" s="44"/>
    </row>
    <row r="925" spans="4:14" ht="14.25" customHeight="1">
      <c r="D925" s="1"/>
      <c r="N925" s="44"/>
    </row>
    <row r="926" spans="4:14" ht="14.25" customHeight="1">
      <c r="D926" s="1"/>
      <c r="N926" s="44"/>
    </row>
    <row r="927" spans="4:14" ht="14.25" customHeight="1">
      <c r="D927" s="1"/>
      <c r="N927" s="44"/>
    </row>
    <row r="928" spans="4:14" ht="14.25" customHeight="1">
      <c r="D928" s="1"/>
      <c r="N928" s="44"/>
    </row>
    <row r="929" spans="4:14" ht="14.25" customHeight="1">
      <c r="D929" s="1"/>
      <c r="N929" s="44"/>
    </row>
    <row r="930" spans="4:14" ht="14.25" customHeight="1">
      <c r="D930" s="1"/>
      <c r="N930" s="44"/>
    </row>
    <row r="931" spans="4:14" ht="14.25" customHeight="1">
      <c r="D931" s="1"/>
      <c r="N931" s="44"/>
    </row>
    <row r="932" spans="4:14" ht="14.25" customHeight="1">
      <c r="D932" s="1"/>
      <c r="N932" s="44"/>
    </row>
    <row r="933" spans="4:14" ht="14.25" customHeight="1">
      <c r="D933" s="1"/>
      <c r="N933" s="44"/>
    </row>
    <row r="934" spans="4:14" ht="14.25" customHeight="1">
      <c r="D934" s="1"/>
      <c r="N934" s="44"/>
    </row>
    <row r="935" spans="4:14" ht="14.25" customHeight="1">
      <c r="D935" s="1"/>
      <c r="N935" s="44"/>
    </row>
    <row r="936" spans="4:14" ht="14.25" customHeight="1">
      <c r="D936" s="1"/>
      <c r="N936" s="44"/>
    </row>
    <row r="937" spans="4:14" ht="14.25" customHeight="1">
      <c r="D937" s="1"/>
      <c r="N937" s="44"/>
    </row>
    <row r="938" spans="4:14" ht="14.25" customHeight="1">
      <c r="D938" s="1"/>
      <c r="N938" s="44"/>
    </row>
    <row r="939" spans="4:14" ht="14.25" customHeight="1">
      <c r="D939" s="1"/>
      <c r="N939" s="44"/>
    </row>
    <row r="940" spans="4:14" ht="14.25" customHeight="1">
      <c r="D940" s="1"/>
      <c r="N940" s="44"/>
    </row>
    <row r="941" spans="4:14" ht="14.25" customHeight="1">
      <c r="D941" s="1"/>
      <c r="N941" s="44"/>
    </row>
    <row r="942" spans="4:14" ht="14.25" customHeight="1">
      <c r="D942" s="1"/>
      <c r="N942" s="44"/>
    </row>
    <row r="943" spans="4:14" ht="14.25" customHeight="1">
      <c r="D943" s="1"/>
      <c r="N943" s="44"/>
    </row>
    <row r="944" spans="4:14" ht="14.25" customHeight="1">
      <c r="D944" s="1"/>
      <c r="N944" s="44"/>
    </row>
    <row r="945" spans="4:14" ht="14.25" customHeight="1">
      <c r="D945" s="1"/>
      <c r="N945" s="44"/>
    </row>
    <row r="946" spans="4:14" ht="14.25" customHeight="1">
      <c r="D946" s="1"/>
      <c r="N946" s="44"/>
    </row>
    <row r="947" spans="4:14" ht="14.25" customHeight="1">
      <c r="D947" s="1"/>
      <c r="N947" s="44"/>
    </row>
    <row r="948" spans="4:14" ht="14.25" customHeight="1">
      <c r="D948" s="1"/>
      <c r="N948" s="44"/>
    </row>
    <row r="949" spans="4:14" ht="14.25" customHeight="1">
      <c r="D949" s="1"/>
      <c r="N949" s="44"/>
    </row>
    <row r="950" spans="4:14" ht="14.25" customHeight="1">
      <c r="D950" s="1"/>
      <c r="N950" s="44"/>
    </row>
    <row r="951" spans="4:14" ht="14.25" customHeight="1">
      <c r="D951" s="1"/>
      <c r="N951" s="44"/>
    </row>
    <row r="952" spans="4:14" ht="14.25" customHeight="1">
      <c r="D952" s="1"/>
      <c r="N952" s="44"/>
    </row>
    <row r="953" spans="4:14" ht="14.25" customHeight="1">
      <c r="D953" s="1"/>
      <c r="N953" s="44"/>
    </row>
    <row r="954" spans="4:14" ht="14.25" customHeight="1">
      <c r="D954" s="1"/>
      <c r="N954" s="44"/>
    </row>
    <row r="955" spans="4:14" ht="14.25" customHeight="1">
      <c r="D955" s="1"/>
      <c r="N955" s="44"/>
    </row>
    <row r="956" spans="4:14" ht="14.25" customHeight="1">
      <c r="D956" s="1"/>
      <c r="N956" s="44"/>
    </row>
    <row r="957" spans="4:14" ht="14.25" customHeight="1">
      <c r="D957" s="1"/>
      <c r="N957" s="44"/>
    </row>
    <row r="958" spans="4:14" ht="14.25" customHeight="1">
      <c r="D958" s="1"/>
      <c r="N958" s="44"/>
    </row>
    <row r="959" spans="4:14" ht="14.25" customHeight="1">
      <c r="D959" s="1"/>
      <c r="N959" s="44"/>
    </row>
    <row r="960" spans="4:14" ht="14.25" customHeight="1">
      <c r="D960" s="1"/>
      <c r="N960" s="44"/>
    </row>
    <row r="961" spans="4:14" ht="14.25" customHeight="1">
      <c r="D961" s="1"/>
      <c r="N961" s="44"/>
    </row>
    <row r="962" spans="4:14" ht="14.25" customHeight="1">
      <c r="D962" s="1"/>
      <c r="N962" s="44"/>
    </row>
    <row r="963" spans="4:14" ht="14.25" customHeight="1">
      <c r="D963" s="1"/>
      <c r="N963" s="44"/>
    </row>
    <row r="964" spans="4:14" ht="14.25" customHeight="1">
      <c r="D964" s="1"/>
      <c r="N964" s="44"/>
    </row>
    <row r="965" spans="4:14" ht="14.25" customHeight="1">
      <c r="D965" s="1"/>
      <c r="N965" s="44"/>
    </row>
    <row r="966" spans="4:14" ht="14.25" customHeight="1">
      <c r="D966" s="1"/>
      <c r="N966" s="44"/>
    </row>
    <row r="967" spans="4:14" ht="14.25" customHeight="1">
      <c r="D967" s="1"/>
      <c r="N967" s="44"/>
    </row>
    <row r="968" spans="4:14" ht="14.25" customHeight="1">
      <c r="D968" s="1"/>
      <c r="N968" s="44"/>
    </row>
    <row r="969" spans="4:14" ht="14.25" customHeight="1">
      <c r="D969" s="1"/>
      <c r="N969" s="44"/>
    </row>
    <row r="970" spans="4:14" ht="14.25" customHeight="1">
      <c r="D970" s="1"/>
      <c r="N970" s="44"/>
    </row>
    <row r="971" spans="4:14" ht="14.25" customHeight="1">
      <c r="D971" s="1"/>
      <c r="N971" s="44"/>
    </row>
    <row r="972" spans="4:14" ht="14.25" customHeight="1">
      <c r="D972" s="1"/>
      <c r="N972" s="44"/>
    </row>
    <row r="973" spans="4:14" ht="14.25" customHeight="1">
      <c r="D973" s="1"/>
      <c r="N973" s="44"/>
    </row>
    <row r="974" spans="4:14" ht="14.25" customHeight="1">
      <c r="D974" s="1"/>
      <c r="N974" s="44"/>
    </row>
    <row r="975" spans="4:14" ht="14.25" customHeight="1">
      <c r="D975" s="1"/>
      <c r="N975" s="44"/>
    </row>
    <row r="976" spans="4:14" ht="14.25" customHeight="1">
      <c r="D976" s="1"/>
      <c r="N976" s="44"/>
    </row>
    <row r="977" spans="4:14" ht="14.25" customHeight="1">
      <c r="D977" s="1"/>
      <c r="N977" s="44"/>
    </row>
    <row r="978" spans="4:14" ht="14.25" customHeight="1">
      <c r="D978" s="1"/>
      <c r="N978" s="44"/>
    </row>
    <row r="979" spans="4:14" ht="14.25" customHeight="1">
      <c r="D979" s="1"/>
      <c r="N979" s="44"/>
    </row>
    <row r="980" spans="4:14" ht="14.25" customHeight="1">
      <c r="D980" s="1"/>
      <c r="N980" s="44"/>
    </row>
    <row r="981" spans="4:14" ht="14.25" customHeight="1">
      <c r="D981" s="1"/>
      <c r="N981" s="44"/>
    </row>
    <row r="982" spans="4:14" ht="14.25" customHeight="1">
      <c r="D982" s="1"/>
      <c r="N982" s="44"/>
    </row>
    <row r="983" spans="4:14" ht="14.25" customHeight="1">
      <c r="D983" s="1"/>
      <c r="N983" s="44"/>
    </row>
    <row r="984" spans="4:14" ht="14.25" customHeight="1">
      <c r="D984" s="1"/>
      <c r="N984" s="44"/>
    </row>
    <row r="985" spans="4:14" ht="14.25" customHeight="1">
      <c r="D985" s="1"/>
      <c r="N985" s="44"/>
    </row>
    <row r="986" spans="4:14" ht="14.25" customHeight="1">
      <c r="D986" s="1"/>
      <c r="N986" s="44"/>
    </row>
    <row r="987" spans="4:14" ht="14.25" customHeight="1">
      <c r="D987" s="1"/>
      <c r="N987" s="44"/>
    </row>
    <row r="988" spans="4:14" ht="14.25" customHeight="1">
      <c r="D988" s="1"/>
      <c r="N988" s="44"/>
    </row>
    <row r="989" spans="4:14" ht="14.25" customHeight="1">
      <c r="D989" s="1"/>
      <c r="N989" s="44"/>
    </row>
    <row r="990" spans="4:14" ht="14.25" customHeight="1">
      <c r="D990" s="1"/>
      <c r="N990" s="44"/>
    </row>
    <row r="991" spans="4:14" ht="14.25" customHeight="1">
      <c r="D991" s="1"/>
      <c r="N991" s="44"/>
    </row>
    <row r="992" spans="4:14" ht="14.25" customHeight="1">
      <c r="D992" s="1"/>
      <c r="N992" s="44"/>
    </row>
    <row r="993" spans="4:14" ht="14.25" customHeight="1">
      <c r="D993" s="1"/>
      <c r="N993" s="44"/>
    </row>
    <row r="994" spans="4:14" ht="14.25" customHeight="1">
      <c r="D994" s="1"/>
      <c r="N994" s="44"/>
    </row>
    <row r="995" spans="4:14" ht="14.25" customHeight="1">
      <c r="D995" s="1"/>
      <c r="N995" s="44"/>
    </row>
    <row r="996" spans="4:14" ht="14.25" customHeight="1">
      <c r="D996" s="1"/>
      <c r="N996" s="44"/>
    </row>
    <row r="997" spans="4:14" ht="14.25" customHeight="1">
      <c r="D997" s="1"/>
      <c r="N997" s="44"/>
    </row>
    <row r="998" spans="4:14" ht="14.25" customHeight="1">
      <c r="D998" s="1"/>
      <c r="N998" s="44"/>
    </row>
    <row r="999" spans="4:14" ht="14.25" customHeight="1">
      <c r="D999" s="1"/>
      <c r="N999" s="44"/>
    </row>
    <row r="1000" spans="4:14" ht="14.25" customHeight="1">
      <c r="D1000" s="1"/>
      <c r="N1000" s="44"/>
    </row>
    <row r="1001" spans="4:14" ht="14.25" customHeight="1">
      <c r="D1001" s="1"/>
      <c r="N1001" s="44"/>
    </row>
    <row r="1002" spans="4:14" ht="14.25" customHeight="1">
      <c r="D1002" s="1"/>
      <c r="N1002" s="44"/>
    </row>
    <row r="1003" spans="4:14" ht="14.25" customHeight="1">
      <c r="D1003" s="1"/>
      <c r="N1003" s="44"/>
    </row>
    <row r="1004" spans="4:14" ht="14.25" customHeight="1">
      <c r="D1004" s="1"/>
      <c r="N1004" s="44"/>
    </row>
    <row r="1005" spans="4:14" ht="14.25" customHeight="1">
      <c r="D1005" s="1"/>
      <c r="N1005" s="44"/>
    </row>
    <row r="1006" spans="4:14" ht="14.25" customHeight="1">
      <c r="D1006" s="1"/>
      <c r="N1006" s="44"/>
    </row>
    <row r="1007" spans="4:14" ht="14.25" customHeight="1">
      <c r="D1007" s="1"/>
      <c r="N1007" s="44"/>
    </row>
    <row r="1008" spans="4:14" ht="14.25" customHeight="1">
      <c r="D1008" s="1"/>
      <c r="N1008" s="44"/>
    </row>
  </sheetData>
  <autoFilter ref="A4:P4" xr:uid="{C3872BDC-2CB6-44B9-8C9E-72DD4641570D}"/>
  <mergeCells count="1">
    <mergeCell ref="B3:O3"/>
  </mergeCells>
  <conditionalFormatting sqref="N39:N1048576">
    <cfRule type="duplicateValues" dxfId="16" priority="17"/>
  </conditionalFormatting>
  <conditionalFormatting sqref="C5:C9">
    <cfRule type="duplicateValues" dxfId="15" priority="4"/>
  </conditionalFormatting>
  <conditionalFormatting sqref="C10">
    <cfRule type="duplicateValues" dxfId="14" priority="3"/>
  </conditionalFormatting>
  <conditionalFormatting sqref="C5:C32">
    <cfRule type="duplicateValues" dxfId="13" priority="5"/>
  </conditionalFormatting>
  <conditionalFormatting sqref="C5:C32">
    <cfRule type="duplicateValues" dxfId="12" priority="6"/>
  </conditionalFormatting>
  <conditionalFormatting sqref="C5:C32">
    <cfRule type="duplicateValues" dxfId="11" priority="7"/>
  </conditionalFormatting>
  <conditionalFormatting sqref="C5:C32">
    <cfRule type="duplicateValues" dxfId="10" priority="8"/>
    <cfRule type="duplicateValues" dxfId="9" priority="9"/>
  </conditionalFormatting>
  <conditionalFormatting sqref="C5:C32">
    <cfRule type="duplicateValues" dxfId="8" priority="10"/>
  </conditionalFormatting>
  <conditionalFormatting sqref="C5:C32">
    <cfRule type="duplicateValues" dxfId="7" priority="11"/>
    <cfRule type="duplicateValues" dxfId="6" priority="12"/>
  </conditionalFormatting>
  <conditionalFormatting sqref="C5:C32">
    <cfRule type="duplicateValues" dxfId="5" priority="13"/>
  </conditionalFormatting>
  <conditionalFormatting sqref="C5:C32">
    <cfRule type="duplicateValues" dxfId="4" priority="14"/>
  </conditionalFormatting>
  <conditionalFormatting sqref="C5:C32">
    <cfRule type="duplicateValues" dxfId="3" priority="15"/>
  </conditionalFormatting>
  <conditionalFormatting sqref="C5:C32">
    <cfRule type="duplicateValues" dxfId="2" priority="16"/>
  </conditionalFormatting>
  <conditionalFormatting sqref="C5:C32">
    <cfRule type="duplicateValues" dxfId="1" priority="2"/>
  </conditionalFormatting>
  <conditionalFormatting sqref="C5:C32">
    <cfRule type="duplicateValues" dxfId="0" priority="1"/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Gaby</cp:lastModifiedBy>
  <dcterms:created xsi:type="dcterms:W3CDTF">2026-06-01T22:49:09Z</dcterms:created>
  <dcterms:modified xsi:type="dcterms:W3CDTF">2026-06-01T22:50:55Z</dcterms:modified>
</cp:coreProperties>
</file>