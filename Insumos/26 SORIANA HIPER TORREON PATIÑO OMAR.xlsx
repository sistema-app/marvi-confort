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han.lopez\Documents\Python\Master Web\Marvi-Confort\Insumos\"/>
    </mc:Choice>
  </mc:AlternateContent>
  <xr:revisionPtr revIDLastSave="0" documentId="13_ncr:1_{C635DC51-9E0D-414C-AB93-4BBFB94C48C8}" xr6:coauthVersionLast="36" xr6:coauthVersionMax="47" xr10:uidLastSave="{00000000-0000-0000-0000-000000000000}"/>
  <bookViews>
    <workbookView xWindow="0" yWindow="0" windowWidth="21915" windowHeight="7935" xr2:uid="{5E2AECE9-E7B4-4B83-BF4A-46B1875966D6}"/>
  </bookViews>
  <sheets>
    <sheet name="26" sheetId="1" r:id="rId1"/>
    <sheet name="Hoja1" sheetId="2" r:id="rId2"/>
  </sheets>
  <definedNames>
    <definedName name="_xlnm._FilterDatabase" localSheetId="0" hidden="1">'26'!$AA:$AA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7" i="1" l="1"/>
  <c r="J15" i="1" l="1"/>
  <c r="I15" i="1"/>
  <c r="G15" i="1"/>
  <c r="L13" i="1"/>
  <c r="H13" i="1"/>
  <c r="L12" i="1"/>
  <c r="H12" i="1"/>
  <c r="M12" i="1" s="1"/>
  <c r="L11" i="1"/>
  <c r="H11" i="1"/>
  <c r="M11" i="1" s="1"/>
  <c r="L10" i="1"/>
  <c r="H10" i="1"/>
  <c r="M10" i="1" s="1"/>
  <c r="L9" i="1"/>
  <c r="H9" i="1"/>
  <c r="L8" i="1"/>
  <c r="H8" i="1"/>
  <c r="L7" i="1"/>
  <c r="H7" i="1"/>
  <c r="L6" i="1"/>
  <c r="H6" i="1"/>
  <c r="L5" i="1"/>
  <c r="H5" i="1"/>
  <c r="M5" i="1" s="1"/>
  <c r="L15" i="1" l="1"/>
  <c r="M13" i="1"/>
  <c r="M15" i="1" s="1"/>
  <c r="M17" i="1" s="1"/>
  <c r="M7" i="1"/>
  <c r="M8" i="1"/>
  <c r="H15" i="1"/>
</calcChain>
</file>

<file path=xl/sharedStrings.xml><?xml version="1.0" encoding="utf-8"?>
<sst xmlns="http://schemas.openxmlformats.org/spreadsheetml/2006/main" count="167" uniqueCount="84">
  <si>
    <t>COMPROBACION DE GASTOS MARVI CONFORT DE MEXICO 2025 DEL 19 DE MAYO DEL 2026 DE LA OBRA SORIANA HIPER TORREON, PATIÑO OMAR</t>
  </si>
  <si>
    <t>FECHA</t>
  </si>
  <si>
    <t xml:space="preserve">FACTURA </t>
  </si>
  <si>
    <t xml:space="preserve">PROVEEDOR </t>
  </si>
  <si>
    <t xml:space="preserve">TRABAJADOR </t>
  </si>
  <si>
    <t xml:space="preserve">OBRA </t>
  </si>
  <si>
    <t>SUBTOTAL</t>
  </si>
  <si>
    <t xml:space="preserve">IVA </t>
  </si>
  <si>
    <t>RET IVA.</t>
  </si>
  <si>
    <t>RET ISR</t>
  </si>
  <si>
    <t>DESCUENTO</t>
  </si>
  <si>
    <t>ISH</t>
  </si>
  <si>
    <t>TOTAL</t>
  </si>
  <si>
    <t>TIPO DE PAGO</t>
  </si>
  <si>
    <t>DESCRIPCION</t>
  </si>
  <si>
    <t>RFC</t>
  </si>
  <si>
    <t>SI</t>
  </si>
  <si>
    <t>0C2931CB-C668-5D95-AAB1-71450A0B722A</t>
  </si>
  <si>
    <t>HECTOR ARMANDO GORDILLO CISNEROS</t>
  </si>
  <si>
    <t>PATIÑO OMAR</t>
  </si>
  <si>
    <t>SORIANA HIPER TORREON</t>
  </si>
  <si>
    <t>Tarjeta de Debito</t>
  </si>
  <si>
    <t>ALQUILER DE VEHICULOS</t>
  </si>
  <si>
    <t>5E3AFE27-54FD-4DC0-9970-4174FC79F911</t>
  </si>
  <si>
    <t>ETN TURISTAR LUJO</t>
  </si>
  <si>
    <t>SERVICIO DE BUSES CON HORARIOS PROGRAMADOS</t>
  </si>
  <si>
    <t>5f85ee03-2bca-4f5b-a7a4-65e62f754381</t>
  </si>
  <si>
    <t>ICR</t>
  </si>
  <si>
    <t>Tarjeta de Credito</t>
  </si>
  <si>
    <t>CONSUMO</t>
  </si>
  <si>
    <t>7A115FC7-3A39-41C6-8E21-0C420C00B570</t>
  </si>
  <si>
    <t>OMNIBUS DE MEXICO</t>
  </si>
  <si>
    <t>SERVICIO PUBLICO FEDERAL DE TRANSPORTACION DE PERSONAS</t>
  </si>
  <si>
    <t>12C6895D-5BF8-4457-BED2-791D9575502E</t>
  </si>
  <si>
    <t>ISELA MEDINA CASTAÑEDA</t>
  </si>
  <si>
    <t>HOSPEDAJE</t>
  </si>
  <si>
    <t>40B2D15F-558C-4EB9-9D3A-F5A0BAAA0E40</t>
  </si>
  <si>
    <t>SEGURO DE VIAJERO</t>
  </si>
  <si>
    <t>0313a418-c824-42e1-8863-d46bcef8a05f</t>
  </si>
  <si>
    <t>AUTOBUSES DE LA PIEDAD</t>
  </si>
  <si>
    <t>SERVICIO DE TRANSPORTE DE PRIMERA PLUS AGS-GUAD</t>
  </si>
  <si>
    <t>900FCAA8-8F87-4993-AAB1-4F486557A134</t>
  </si>
  <si>
    <t>68410A78-89A3-5228-8731-AF2EC506AE95</t>
  </si>
  <si>
    <t>MARIO ALBERTO MORALES AGUILERA</t>
  </si>
  <si>
    <t>GXC (PAGO ERRONEO)</t>
  </si>
  <si>
    <t>TOTA PAGAR</t>
  </si>
  <si>
    <t>NO DEDUCIBLE</t>
  </si>
  <si>
    <t>NO</t>
  </si>
  <si>
    <t>TICKET</t>
  </si>
  <si>
    <t>IMPRESIÓN</t>
  </si>
  <si>
    <t>UBER</t>
  </si>
  <si>
    <t>VALE AZUL</t>
  </si>
  <si>
    <t>VIATICOS POR 1 DIA</t>
  </si>
  <si>
    <t>TAXI DE CASA A TERMINAL</t>
  </si>
  <si>
    <t>GOCH720907TA8</t>
  </si>
  <si>
    <t>TLU080610C81</t>
  </si>
  <si>
    <t>ICR9305317G4</t>
  </si>
  <si>
    <t>OME561118AA8</t>
  </si>
  <si>
    <t>MECI850211DB8</t>
  </si>
  <si>
    <t>API6609273E0</t>
  </si>
  <si>
    <t>MOAM890120290</t>
  </si>
  <si>
    <t>DEDUCIBLE</t>
  </si>
  <si>
    <t>ID_COMPROBACION</t>
  </si>
  <si>
    <t>FACTURA</t>
  </si>
  <si>
    <t>PROVEEDOR</t>
  </si>
  <si>
    <t>TRABAJADOR</t>
  </si>
  <si>
    <t>OBRA</t>
  </si>
  <si>
    <t>IVA</t>
  </si>
  <si>
    <t>RET_IVA</t>
  </si>
  <si>
    <t>RET_ISR</t>
  </si>
  <si>
    <t>ID_OBRA</t>
  </si>
  <si>
    <t>TIPO_NO_DEDUCIBLE</t>
  </si>
  <si>
    <t>MONTO_NO_DEDUCIBLE</t>
  </si>
  <si>
    <t>ENTERO</t>
  </si>
  <si>
    <t>SI/NO</t>
  </si>
  <si>
    <t>TEXTO</t>
  </si>
  <si>
    <t>FLOTANTE</t>
  </si>
  <si>
    <t>TARJETA DE DEBITO/TARJETA DE CREDITO/EFECTIVO</t>
  </si>
  <si>
    <t>AUTOINCREMENTABLE</t>
  </si>
  <si>
    <t>COMBOBOX CON LOS ID DE LA HOJA "OBRAS"</t>
  </si>
  <si>
    <t>COMBOBOX CON LAS OBRA DE LA HOJA "OBRAS"</t>
  </si>
  <si>
    <t>CALENDARIO EMERGENTE DD/MM/AAA</t>
  </si>
  <si>
    <t>CAJA DE TEXTO</t>
  </si>
  <si>
    <t>CAJA DE TEXTO SOLO PERMITIR NUMEROS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</si>
</sst>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_-;\-* #,##0.00_-;_-* &quot;-&quot;??_-;_-@"/>
    <numFmt numFmtId="165" formatCode="_-&quot;$&quot;* #,##0.00_-;\-&quot;$&quot;* #,##0.00_-;_-&quot;$&quot;* &quot;-&quot;??_-;_-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4"/>
      <color rgb="FFFF000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45">
    <xf numFmtId="0" fontId="0" fillId="0" borderId="0" xfId="0"/>
    <xf numFmtId="0" fontId="2" fillId="0" borderId="0" xfId="2" applyFont="1"/>
    <xf numFmtId="0" fontId="3" fillId="0" borderId="0" xfId="2" applyFont="1"/>
    <xf numFmtId="14" fontId="6" fillId="0" borderId="4" xfId="2" applyNumberFormat="1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164" fontId="6" fillId="0" borderId="6" xfId="2" applyNumberFormat="1" applyFont="1" applyBorder="1" applyAlignment="1">
      <alignment horizontal="center" vertical="center"/>
    </xf>
    <xf numFmtId="164" fontId="6" fillId="0" borderId="7" xfId="2" applyNumberFormat="1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14" fontId="7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0" borderId="0" xfId="2" applyFont="1" applyAlignment="1">
      <alignment horizontal="center"/>
    </xf>
    <xf numFmtId="44" fontId="7" fillId="0" borderId="0" xfId="1" applyFont="1"/>
    <xf numFmtId="44" fontId="7" fillId="0" borderId="0" xfId="1" applyFont="1" applyFill="1"/>
    <xf numFmtId="0" fontId="7" fillId="0" borderId="0" xfId="2" applyFont="1"/>
    <xf numFmtId="43" fontId="7" fillId="0" borderId="0" xfId="2" applyNumberFormat="1" applyFont="1"/>
    <xf numFmtId="14" fontId="2" fillId="0" borderId="0" xfId="2" applyNumberFormat="1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2" fillId="0" borderId="0" xfId="2" applyFont="1" applyAlignment="1">
      <alignment horizontal="left"/>
    </xf>
    <xf numFmtId="165" fontId="2" fillId="0" borderId="0" xfId="2" applyNumberFormat="1" applyFont="1"/>
    <xf numFmtId="44" fontId="2" fillId="0" borderId="0" xfId="1" applyFont="1"/>
    <xf numFmtId="0" fontId="2" fillId="0" borderId="0" xfId="2" applyFont="1" applyAlignment="1">
      <alignment horizontal="center"/>
    </xf>
    <xf numFmtId="164" fontId="2" fillId="0" borderId="9" xfId="2" applyNumberFormat="1" applyFont="1" applyBorder="1"/>
    <xf numFmtId="164" fontId="2" fillId="0" borderId="9" xfId="2" applyNumberFormat="1" applyFont="1" applyBorder="1" applyAlignment="1">
      <alignment horizontal="right" vertical="center"/>
    </xf>
    <xf numFmtId="165" fontId="3" fillId="0" borderId="0" xfId="2" applyNumberFormat="1" applyFont="1" applyAlignment="1">
      <alignment vertical="center"/>
    </xf>
    <xf numFmtId="164" fontId="2" fillId="0" borderId="0" xfId="2" applyNumberFormat="1" applyFont="1"/>
    <xf numFmtId="0" fontId="8" fillId="0" borderId="0" xfId="2" applyFont="1"/>
    <xf numFmtId="44" fontId="3" fillId="0" borderId="0" xfId="1" applyFont="1" applyFill="1" applyAlignment="1">
      <alignment horizontal="right" vertical="center"/>
    </xf>
    <xf numFmtId="0" fontId="3" fillId="0" borderId="10" xfId="2" applyFont="1" applyBorder="1"/>
    <xf numFmtId="44" fontId="9" fillId="0" borderId="10" xfId="1" applyFont="1" applyBorder="1" applyAlignment="1">
      <alignment horizontal="right" vertical="center"/>
    </xf>
    <xf numFmtId="44" fontId="2" fillId="0" borderId="0" xfId="1" applyFont="1" applyAlignment="1">
      <alignment horizontal="center" vertical="center"/>
    </xf>
    <xf numFmtId="44" fontId="2" fillId="0" borderId="0" xfId="2" applyNumberFormat="1" applyFont="1"/>
    <xf numFmtId="0" fontId="6" fillId="0" borderId="0" xfId="2" applyFont="1" applyAlignment="1">
      <alignment horizontal="center" vertical="center"/>
    </xf>
    <xf numFmtId="44" fontId="2" fillId="0" borderId="0" xfId="1" applyFont="1" applyFill="1"/>
    <xf numFmtId="8" fontId="2" fillId="0" borderId="0" xfId="2" applyNumberFormat="1" applyFont="1"/>
    <xf numFmtId="44" fontId="2" fillId="0" borderId="9" xfId="2" applyNumberFormat="1" applyFont="1" applyBorder="1"/>
    <xf numFmtId="0" fontId="4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vertical="center"/>
    </xf>
    <xf numFmtId="0" fontId="5" fillId="0" borderId="3" xfId="2" applyFont="1" applyBorder="1" applyAlignment="1">
      <alignment vertical="center"/>
    </xf>
    <xf numFmtId="0" fontId="0" fillId="0" borderId="0" xfId="0" applyAlignment="1"/>
    <xf numFmtId="0" fontId="10" fillId="0" borderId="11" xfId="0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11" fillId="0" borderId="11" xfId="0" applyFont="1" applyBorder="1" applyAlignment="1">
      <alignment horizontal="center" vertical="center"/>
    </xf>
  </cellXfs>
  <cellStyles count="3">
    <cellStyle name="Moneda" xfId="1" builtinId="4"/>
    <cellStyle name="Normal" xfId="0" builtinId="0"/>
    <cellStyle name="Normal 3" xfId="2" xr:uid="{824CC4EC-A3BC-4E63-BBE1-8E5464602A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B07F6-2BAB-469D-90FB-765A1D7C8673}">
  <dimension ref="A1:R952"/>
  <sheetViews>
    <sheetView tabSelected="1" zoomScale="85" zoomScaleNormal="85" workbookViewId="0">
      <selection activeCell="A24" sqref="A24"/>
    </sheetView>
  </sheetViews>
  <sheetFormatPr baseColWidth="10" defaultColWidth="14" defaultRowHeight="15" customHeight="1" x14ac:dyDescent="0.25"/>
  <cols>
    <col min="1" max="1" width="12.140625" style="1" customWidth="1"/>
    <col min="2" max="2" width="13.42578125" style="1" customWidth="1"/>
    <col min="3" max="3" width="42.28515625" style="1" customWidth="1"/>
    <col min="4" max="4" width="40.7109375" style="1" customWidth="1"/>
    <col min="5" max="5" width="19.7109375" style="1" bestFit="1" customWidth="1"/>
    <col min="6" max="6" width="21.140625" style="1" bestFit="1" customWidth="1"/>
    <col min="7" max="7" width="14.28515625" style="1" customWidth="1"/>
    <col min="8" max="8" width="11.85546875" style="1" customWidth="1"/>
    <col min="9" max="9" width="11.5703125" style="1" customWidth="1"/>
    <col min="10" max="10" width="11" style="1" customWidth="1"/>
    <col min="11" max="11" width="17.85546875" style="1" customWidth="1"/>
    <col min="12" max="12" width="18.85546875" style="1" bestFit="1" customWidth="1"/>
    <col min="13" max="13" width="14.7109375" style="1" customWidth="1"/>
    <col min="14" max="14" width="33.5703125" style="1" customWidth="1"/>
    <col min="15" max="15" width="50.42578125" style="1" customWidth="1"/>
    <col min="16" max="16" width="18" style="1" customWidth="1"/>
    <col min="17" max="25" width="11.5703125" style="1" customWidth="1"/>
    <col min="26" max="26" width="54.7109375" style="1" bestFit="1" customWidth="1"/>
    <col min="27" max="27" width="43.42578125" style="1" customWidth="1"/>
    <col min="28" max="16384" width="14" style="1"/>
  </cols>
  <sheetData>
    <row r="1" spans="1:18" ht="14.25" customHeight="1" x14ac:dyDescent="0.25"/>
    <row r="2" spans="1:18" ht="14.25" customHeight="1" thickBot="1" x14ac:dyDescent="0.3"/>
    <row r="3" spans="1:18" ht="21" customHeight="1" thickBot="1" x14ac:dyDescent="0.3">
      <c r="A3" s="2"/>
      <c r="B3" s="38" t="s">
        <v>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0"/>
    </row>
    <row r="4" spans="1:18" ht="14.25" customHeight="1" thickBot="1" x14ac:dyDescent="0.3">
      <c r="A4" s="3" t="s">
        <v>1</v>
      </c>
      <c r="B4" s="4" t="s">
        <v>61</v>
      </c>
      <c r="C4" s="4" t="s">
        <v>2</v>
      </c>
      <c r="D4" s="5" t="s">
        <v>3</v>
      </c>
      <c r="E4" s="5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7" t="s">
        <v>9</v>
      </c>
      <c r="K4" s="6" t="s">
        <v>10</v>
      </c>
      <c r="L4" s="6" t="s">
        <v>11</v>
      </c>
      <c r="M4" s="6" t="s">
        <v>12</v>
      </c>
      <c r="N4" s="5" t="s">
        <v>13</v>
      </c>
      <c r="O4" s="5" t="s">
        <v>14</v>
      </c>
      <c r="P4" s="8" t="s">
        <v>15</v>
      </c>
    </row>
    <row r="5" spans="1:18" s="16" customFormat="1" ht="14.25" customHeight="1" x14ac:dyDescent="0.2">
      <c r="A5" s="9">
        <v>46158</v>
      </c>
      <c r="B5" s="10" t="s">
        <v>16</v>
      </c>
      <c r="C5" s="11" t="s">
        <v>17</v>
      </c>
      <c r="D5" s="12" t="s">
        <v>18</v>
      </c>
      <c r="E5" s="13" t="s">
        <v>19</v>
      </c>
      <c r="F5" s="13" t="s">
        <v>20</v>
      </c>
      <c r="G5" s="14">
        <v>97.54</v>
      </c>
      <c r="H5" s="14">
        <f t="shared" ref="H5:H11" si="0">+(G5-K5)*0.16</f>
        <v>15.606400000000001</v>
      </c>
      <c r="I5" s="14">
        <v>0</v>
      </c>
      <c r="J5" s="14"/>
      <c r="K5" s="14"/>
      <c r="L5" s="15">
        <f>+IF(O5="HOSPEDAJE",ROUND(G5*0.05,2),0)</f>
        <v>0</v>
      </c>
      <c r="M5" s="15">
        <f t="shared" ref="M5" si="1">G5+H5+L5-K5-I5-J5</f>
        <v>113.1464</v>
      </c>
      <c r="N5" s="16" t="s">
        <v>21</v>
      </c>
      <c r="O5" s="12" t="s">
        <v>22</v>
      </c>
      <c r="P5" s="10" t="s">
        <v>54</v>
      </c>
    </row>
    <row r="6" spans="1:18" s="16" customFormat="1" ht="14.25" customHeight="1" x14ac:dyDescent="0.2">
      <c r="A6" s="9">
        <v>46160</v>
      </c>
      <c r="B6" s="10" t="s">
        <v>16</v>
      </c>
      <c r="C6" s="11" t="s">
        <v>23</v>
      </c>
      <c r="D6" s="12" t="s">
        <v>24</v>
      </c>
      <c r="E6" s="13" t="s">
        <v>19</v>
      </c>
      <c r="F6" s="13" t="s">
        <v>20</v>
      </c>
      <c r="G6" s="14">
        <v>1310.3399999999999</v>
      </c>
      <c r="H6" s="14">
        <f t="shared" si="0"/>
        <v>209.65439999999998</v>
      </c>
      <c r="I6" s="14">
        <v>0</v>
      </c>
      <c r="J6" s="14"/>
      <c r="K6" s="14"/>
      <c r="L6" s="15">
        <f t="shared" ref="L6:L13" si="2">+IF(O6="HOSPEDAJE",ROUND(G6*0.05,2),0)</f>
        <v>0</v>
      </c>
      <c r="M6" s="15">
        <v>1520</v>
      </c>
      <c r="N6" s="16" t="s">
        <v>21</v>
      </c>
      <c r="O6" s="12" t="s">
        <v>25</v>
      </c>
      <c r="P6" s="10" t="s">
        <v>55</v>
      </c>
      <c r="R6" s="17"/>
    </row>
    <row r="7" spans="1:18" s="16" customFormat="1" ht="14.25" customHeight="1" x14ac:dyDescent="0.2">
      <c r="A7" s="9">
        <v>46160</v>
      </c>
      <c r="B7" s="10" t="s">
        <v>16</v>
      </c>
      <c r="C7" s="11" t="s">
        <v>26</v>
      </c>
      <c r="D7" s="12" t="s">
        <v>27</v>
      </c>
      <c r="E7" s="13" t="s">
        <v>19</v>
      </c>
      <c r="F7" s="13" t="s">
        <v>20</v>
      </c>
      <c r="G7" s="14">
        <v>375.86</v>
      </c>
      <c r="H7" s="14">
        <f t="shared" si="0"/>
        <v>60.137600000000006</v>
      </c>
      <c r="I7" s="14">
        <v>0</v>
      </c>
      <c r="J7" s="14"/>
      <c r="K7" s="14"/>
      <c r="L7" s="15">
        <f t="shared" si="2"/>
        <v>0</v>
      </c>
      <c r="M7" s="15">
        <f t="shared" ref="M7:M13" si="3">G7+H7+L7-K7-I7-J7</f>
        <v>435.99760000000003</v>
      </c>
      <c r="N7" s="16" t="s">
        <v>28</v>
      </c>
      <c r="O7" s="12" t="s">
        <v>29</v>
      </c>
      <c r="P7" s="10" t="s">
        <v>56</v>
      </c>
    </row>
    <row r="8" spans="1:18" s="16" customFormat="1" ht="14.25" customHeight="1" x14ac:dyDescent="0.2">
      <c r="A8" s="9">
        <v>46156</v>
      </c>
      <c r="B8" s="10" t="s">
        <v>16</v>
      </c>
      <c r="C8" s="11" t="s">
        <v>30</v>
      </c>
      <c r="D8" s="12" t="s">
        <v>31</v>
      </c>
      <c r="E8" s="13" t="s">
        <v>19</v>
      </c>
      <c r="F8" s="13" t="s">
        <v>20</v>
      </c>
      <c r="G8" s="14">
        <v>775</v>
      </c>
      <c r="H8" s="14">
        <f t="shared" si="0"/>
        <v>124</v>
      </c>
      <c r="I8" s="14">
        <v>0</v>
      </c>
      <c r="J8" s="14"/>
      <c r="K8" s="14"/>
      <c r="L8" s="15">
        <f t="shared" si="2"/>
        <v>0</v>
      </c>
      <c r="M8" s="15">
        <f t="shared" si="3"/>
        <v>899</v>
      </c>
      <c r="N8" s="16" t="s">
        <v>21</v>
      </c>
      <c r="O8" s="12" t="s">
        <v>32</v>
      </c>
      <c r="P8" s="10" t="s">
        <v>57</v>
      </c>
    </row>
    <row r="9" spans="1:18" s="16" customFormat="1" ht="14.25" customHeight="1" x14ac:dyDescent="0.2">
      <c r="A9" s="9">
        <v>46159</v>
      </c>
      <c r="B9" s="10" t="s">
        <v>16</v>
      </c>
      <c r="C9" s="11" t="s">
        <v>33</v>
      </c>
      <c r="D9" s="12" t="s">
        <v>34</v>
      </c>
      <c r="E9" s="13" t="s">
        <v>19</v>
      </c>
      <c r="F9" s="13" t="s">
        <v>20</v>
      </c>
      <c r="G9" s="14">
        <v>1027.1400000000001</v>
      </c>
      <c r="H9" s="14">
        <f t="shared" si="0"/>
        <v>164.34240000000003</v>
      </c>
      <c r="I9" s="14">
        <v>0</v>
      </c>
      <c r="J9" s="14"/>
      <c r="K9" s="14"/>
      <c r="L9" s="15">
        <f>+IF(O9="HOSPEDAJE",ROUND(G9*0.05,2),0)</f>
        <v>51.36</v>
      </c>
      <c r="M9" s="15">
        <v>1230</v>
      </c>
      <c r="N9" s="16" t="s">
        <v>21</v>
      </c>
      <c r="O9" s="12" t="s">
        <v>35</v>
      </c>
      <c r="P9" s="10" t="s">
        <v>58</v>
      </c>
      <c r="R9" s="17"/>
    </row>
    <row r="10" spans="1:18" s="16" customFormat="1" ht="14.25" customHeight="1" x14ac:dyDescent="0.2">
      <c r="A10" s="9">
        <v>46160</v>
      </c>
      <c r="B10" s="10" t="s">
        <v>16</v>
      </c>
      <c r="C10" s="11" t="s">
        <v>36</v>
      </c>
      <c r="D10" s="12" t="s">
        <v>24</v>
      </c>
      <c r="E10" s="13" t="s">
        <v>19</v>
      </c>
      <c r="F10" s="13" t="s">
        <v>20</v>
      </c>
      <c r="G10" s="14">
        <v>13.79</v>
      </c>
      <c r="H10" s="14">
        <f t="shared" si="0"/>
        <v>2.2063999999999999</v>
      </c>
      <c r="I10" s="14">
        <v>0</v>
      </c>
      <c r="J10" s="14"/>
      <c r="K10" s="14"/>
      <c r="L10" s="15">
        <f t="shared" si="2"/>
        <v>0</v>
      </c>
      <c r="M10" s="15">
        <f t="shared" si="3"/>
        <v>15.9964</v>
      </c>
      <c r="N10" s="16" t="s">
        <v>21</v>
      </c>
      <c r="O10" s="12" t="s">
        <v>37</v>
      </c>
      <c r="P10" s="10" t="s">
        <v>55</v>
      </c>
    </row>
    <row r="11" spans="1:18" s="16" customFormat="1" ht="14.25" customHeight="1" x14ac:dyDescent="0.2">
      <c r="A11" s="9">
        <v>46160</v>
      </c>
      <c r="B11" s="10" t="s">
        <v>16</v>
      </c>
      <c r="C11" s="11" t="s">
        <v>38</v>
      </c>
      <c r="D11" s="12" t="s">
        <v>39</v>
      </c>
      <c r="E11" s="13" t="s">
        <v>19</v>
      </c>
      <c r="F11" s="13" t="s">
        <v>20</v>
      </c>
      <c r="G11" s="14">
        <v>512.92999999999995</v>
      </c>
      <c r="H11" s="14">
        <f t="shared" si="0"/>
        <v>82.068799999999996</v>
      </c>
      <c r="I11" s="14">
        <v>0</v>
      </c>
      <c r="J11" s="14"/>
      <c r="K11" s="14"/>
      <c r="L11" s="15">
        <f t="shared" si="2"/>
        <v>0</v>
      </c>
      <c r="M11" s="15">
        <f t="shared" si="3"/>
        <v>594.99879999999996</v>
      </c>
      <c r="N11" s="16" t="s">
        <v>21</v>
      </c>
      <c r="O11" s="12" t="s">
        <v>40</v>
      </c>
      <c r="P11" s="10" t="s">
        <v>59</v>
      </c>
    </row>
    <row r="12" spans="1:18" s="16" customFormat="1" ht="14.25" customHeight="1" x14ac:dyDescent="0.2">
      <c r="A12" s="9">
        <v>46160</v>
      </c>
      <c r="B12" s="10" t="s">
        <v>16</v>
      </c>
      <c r="C12" s="11" t="s">
        <v>41</v>
      </c>
      <c r="D12" s="12" t="s">
        <v>31</v>
      </c>
      <c r="E12" s="13" t="s">
        <v>19</v>
      </c>
      <c r="F12" s="13" t="s">
        <v>20</v>
      </c>
      <c r="G12" s="14">
        <v>736.21</v>
      </c>
      <c r="H12" s="14">
        <f t="shared" ref="H12:H13" si="4">+(G12-K12)*0.16</f>
        <v>117.79360000000001</v>
      </c>
      <c r="I12" s="14">
        <v>0</v>
      </c>
      <c r="J12" s="14"/>
      <c r="K12" s="14"/>
      <c r="L12" s="15">
        <f t="shared" si="2"/>
        <v>0</v>
      </c>
      <c r="M12" s="15">
        <f t="shared" si="3"/>
        <v>854.00360000000001</v>
      </c>
      <c r="N12" s="16" t="s">
        <v>21</v>
      </c>
      <c r="O12" s="12" t="s">
        <v>32</v>
      </c>
      <c r="P12" s="10" t="s">
        <v>57</v>
      </c>
      <c r="R12" s="17"/>
    </row>
    <row r="13" spans="1:18" s="16" customFormat="1" ht="14.25" customHeight="1" x14ac:dyDescent="0.2">
      <c r="A13" s="9">
        <v>46157</v>
      </c>
      <c r="B13" s="10" t="s">
        <v>16</v>
      </c>
      <c r="C13" s="11" t="s">
        <v>42</v>
      </c>
      <c r="D13" s="12" t="s">
        <v>43</v>
      </c>
      <c r="E13" s="13" t="s">
        <v>19</v>
      </c>
      <c r="F13" s="13" t="s">
        <v>20</v>
      </c>
      <c r="G13" s="14">
        <v>112.04</v>
      </c>
      <c r="H13" s="14">
        <f t="shared" si="4"/>
        <v>17.926400000000001</v>
      </c>
      <c r="I13" s="14">
        <v>0</v>
      </c>
      <c r="J13" s="14"/>
      <c r="K13" s="14"/>
      <c r="L13" s="15">
        <f t="shared" si="2"/>
        <v>0</v>
      </c>
      <c r="M13" s="15">
        <f t="shared" si="3"/>
        <v>129.96640000000002</v>
      </c>
      <c r="N13" s="16" t="s">
        <v>21</v>
      </c>
      <c r="O13" s="12" t="s">
        <v>22</v>
      </c>
      <c r="P13" s="10" t="s">
        <v>60</v>
      </c>
    </row>
    <row r="14" spans="1:18" ht="14.25" customHeight="1" x14ac:dyDescent="0.25">
      <c r="A14" s="18"/>
      <c r="B14" s="19"/>
      <c r="C14" s="20"/>
      <c r="G14" s="21"/>
      <c r="H14" s="22"/>
      <c r="I14" s="22"/>
      <c r="J14" s="22"/>
      <c r="K14" s="22"/>
      <c r="L14" s="22"/>
      <c r="M14" s="22"/>
      <c r="P14" s="19"/>
    </row>
    <row r="15" spans="1:18" ht="14.25" customHeight="1" thickBot="1" x14ac:dyDescent="0.3">
      <c r="A15" s="19"/>
      <c r="F15" s="23"/>
      <c r="G15" s="24">
        <f>SUM(G5:G14)</f>
        <v>4960.8500000000004</v>
      </c>
      <c r="H15" s="24">
        <f>SUM(H5:H14)</f>
        <v>793.7360000000001</v>
      </c>
      <c r="I15" s="24">
        <f>SUM(I5:I14)</f>
        <v>0</v>
      </c>
      <c r="J15" s="24">
        <f>SUM(J5:J14)</f>
        <v>0</v>
      </c>
      <c r="K15" s="24"/>
      <c r="L15" s="24">
        <f>SUM(L5:L14)</f>
        <v>51.36</v>
      </c>
      <c r="M15" s="25">
        <f>SUM(M5:M14)</f>
        <v>5793.1092000000008</v>
      </c>
      <c r="N15" s="26"/>
      <c r="O15" s="27"/>
      <c r="P15" s="19"/>
    </row>
    <row r="16" spans="1:18" ht="14.25" customHeight="1" thickTop="1" thickBot="1" x14ac:dyDescent="0.3">
      <c r="A16" s="19"/>
      <c r="K16" s="2"/>
      <c r="L16" s="28" t="s">
        <v>44</v>
      </c>
      <c r="M16" s="29">
        <v>2076.5</v>
      </c>
      <c r="P16" s="19"/>
    </row>
    <row r="17" spans="1:16" ht="14.25" customHeight="1" thickTop="1" thickBot="1" x14ac:dyDescent="0.3">
      <c r="A17" s="19"/>
      <c r="K17" s="2"/>
      <c r="L17" s="30" t="s">
        <v>45</v>
      </c>
      <c r="M17" s="31">
        <f>M15-M16</f>
        <v>3716.6092000000008</v>
      </c>
      <c r="P17" s="19"/>
    </row>
    <row r="18" spans="1:16" ht="14.25" customHeight="1" thickTop="1" x14ac:dyDescent="0.25">
      <c r="A18" s="19"/>
      <c r="L18" s="22"/>
      <c r="M18" s="27"/>
      <c r="P18" s="32"/>
    </row>
    <row r="19" spans="1:16" ht="14.25" customHeight="1" x14ac:dyDescent="0.25">
      <c r="A19" s="9"/>
      <c r="N19" s="33"/>
      <c r="O19" s="33"/>
      <c r="P19" s="32"/>
    </row>
    <row r="20" spans="1:16" ht="14.25" customHeight="1" x14ac:dyDescent="0.25">
      <c r="A20" s="9"/>
      <c r="C20" s="11"/>
      <c r="D20" s="34" t="s">
        <v>46</v>
      </c>
      <c r="N20" s="33"/>
      <c r="P20" s="32"/>
    </row>
    <row r="21" spans="1:16" ht="14.25" customHeight="1" x14ac:dyDescent="0.25">
      <c r="A21" s="9">
        <v>46156</v>
      </c>
      <c r="B21" s="10" t="s">
        <v>47</v>
      </c>
      <c r="C21" s="11" t="s">
        <v>48</v>
      </c>
      <c r="D21" s="11" t="s">
        <v>49</v>
      </c>
      <c r="E21" s="35"/>
      <c r="F21" s="22"/>
      <c r="M21" s="22">
        <v>572</v>
      </c>
      <c r="N21" s="33"/>
      <c r="O21" s="33"/>
      <c r="P21" s="32"/>
    </row>
    <row r="22" spans="1:16" ht="14.25" customHeight="1" x14ac:dyDescent="0.25">
      <c r="A22" s="9">
        <v>46155</v>
      </c>
      <c r="B22" s="10" t="s">
        <v>47</v>
      </c>
      <c r="C22" s="11" t="s">
        <v>48</v>
      </c>
      <c r="D22" s="11" t="s">
        <v>50</v>
      </c>
      <c r="M22" s="22">
        <v>109.99</v>
      </c>
      <c r="N22" s="33"/>
    </row>
    <row r="23" spans="1:16" ht="14.25" customHeight="1" x14ac:dyDescent="0.25">
      <c r="A23" s="9">
        <v>46157</v>
      </c>
      <c r="B23" s="10" t="s">
        <v>47</v>
      </c>
      <c r="C23" s="11" t="s">
        <v>51</v>
      </c>
      <c r="D23" s="11" t="s">
        <v>52</v>
      </c>
      <c r="M23" s="22">
        <v>200</v>
      </c>
    </row>
    <row r="24" spans="1:16" ht="14.25" customHeight="1" x14ac:dyDescent="0.25">
      <c r="A24" s="9">
        <v>46160</v>
      </c>
      <c r="B24" s="10" t="s">
        <v>47</v>
      </c>
      <c r="C24" s="11" t="s">
        <v>51</v>
      </c>
      <c r="D24" s="11" t="s">
        <v>53</v>
      </c>
      <c r="M24" s="22">
        <v>150</v>
      </c>
    </row>
    <row r="25" spans="1:16" ht="14.25" customHeight="1" x14ac:dyDescent="0.25">
      <c r="A25" s="18"/>
      <c r="B25" s="18"/>
      <c r="C25" s="19"/>
      <c r="D25" s="23"/>
      <c r="M25" s="36"/>
    </row>
    <row r="26" spans="1:16" ht="14.25" customHeight="1" x14ac:dyDescent="0.25">
      <c r="A26" s="18"/>
      <c r="B26" s="18"/>
      <c r="C26" s="19"/>
      <c r="M26" s="36"/>
    </row>
    <row r="27" spans="1:16" ht="14.25" customHeight="1" thickBot="1" x14ac:dyDescent="0.3">
      <c r="L27" s="36"/>
      <c r="M27" s="37">
        <f>SUM(M21:M24)</f>
        <v>1031.99</v>
      </c>
    </row>
    <row r="28" spans="1:16" ht="14.25" customHeight="1" thickTop="1" x14ac:dyDescent="0.25"/>
    <row r="29" spans="1:16" ht="14.25" customHeight="1" x14ac:dyDescent="0.25">
      <c r="M29" s="27"/>
    </row>
    <row r="30" spans="1:16" ht="14.25" customHeight="1" x14ac:dyDescent="0.25">
      <c r="L30" s="27"/>
      <c r="M30" s="33"/>
    </row>
    <row r="31" spans="1:16" ht="14.25" customHeight="1" x14ac:dyDescent="0.25"/>
    <row r="32" spans="1:1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</sheetData>
  <mergeCells count="1">
    <mergeCell ref="B3:O3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52EF-EED9-4F2E-8047-95BFEF80B18D}">
  <dimension ref="A1:C21"/>
  <sheetViews>
    <sheetView workbookViewId="0">
      <selection sqref="A1:C21"/>
    </sheetView>
  </sheetViews>
  <sheetFormatPr baseColWidth="10" defaultRowHeight="15" x14ac:dyDescent="0.25"/>
  <cols>
    <col min="1" max="1" width="23.140625" style="41" bestFit="1" customWidth="1"/>
    <col min="2" max="2" width="12.5703125" customWidth="1"/>
    <col min="3" max="3" width="47.28515625" bestFit="1" customWidth="1"/>
  </cols>
  <sheetData>
    <row r="1" spans="1:3" x14ac:dyDescent="0.25">
      <c r="A1" s="42" t="s">
        <v>62</v>
      </c>
      <c r="B1" s="43" t="s">
        <v>73</v>
      </c>
      <c r="C1" s="43" t="s">
        <v>78</v>
      </c>
    </row>
    <row r="2" spans="1:3" x14ac:dyDescent="0.25">
      <c r="A2" s="44" t="s">
        <v>1</v>
      </c>
      <c r="B2" s="43" t="s">
        <v>1</v>
      </c>
      <c r="C2" s="43" t="s">
        <v>81</v>
      </c>
    </row>
    <row r="3" spans="1:3" x14ac:dyDescent="0.25">
      <c r="A3" s="44" t="s">
        <v>61</v>
      </c>
      <c r="B3" s="43" t="s">
        <v>75</v>
      </c>
      <c r="C3" s="43" t="s">
        <v>74</v>
      </c>
    </row>
    <row r="4" spans="1:3" x14ac:dyDescent="0.25">
      <c r="A4" s="44" t="s">
        <v>63</v>
      </c>
      <c r="B4" s="43" t="s">
        <v>75</v>
      </c>
      <c r="C4" s="43" t="s">
        <v>82</v>
      </c>
    </row>
    <row r="5" spans="1:3" x14ac:dyDescent="0.25">
      <c r="A5" s="44" t="s">
        <v>64</v>
      </c>
      <c r="B5" s="43" t="s">
        <v>75</v>
      </c>
      <c r="C5" s="43" t="s">
        <v>82</v>
      </c>
    </row>
    <row r="6" spans="1:3" x14ac:dyDescent="0.25">
      <c r="A6" s="44" t="s">
        <v>65</v>
      </c>
      <c r="B6" s="43" t="s">
        <v>75</v>
      </c>
      <c r="C6" s="43" t="s">
        <v>82</v>
      </c>
    </row>
    <row r="7" spans="1:3" x14ac:dyDescent="0.25">
      <c r="A7" s="44" t="s">
        <v>66</v>
      </c>
      <c r="B7" s="43" t="s">
        <v>75</v>
      </c>
      <c r="C7" s="43" t="s">
        <v>82</v>
      </c>
    </row>
    <row r="8" spans="1:3" x14ac:dyDescent="0.25">
      <c r="A8" s="44" t="s">
        <v>6</v>
      </c>
      <c r="B8" s="43" t="s">
        <v>76</v>
      </c>
      <c r="C8" s="43" t="s">
        <v>83</v>
      </c>
    </row>
    <row r="9" spans="1:3" x14ac:dyDescent="0.25">
      <c r="A9" s="44" t="s">
        <v>67</v>
      </c>
      <c r="B9" s="43" t="s">
        <v>76</v>
      </c>
      <c r="C9" s="43" t="s">
        <v>83</v>
      </c>
    </row>
    <row r="10" spans="1:3" x14ac:dyDescent="0.25">
      <c r="A10" s="44" t="s">
        <v>68</v>
      </c>
      <c r="B10" s="43" t="s">
        <v>76</v>
      </c>
      <c r="C10" s="43" t="s">
        <v>83</v>
      </c>
    </row>
    <row r="11" spans="1:3" x14ac:dyDescent="0.25">
      <c r="A11" s="44" t="s">
        <v>69</v>
      </c>
      <c r="B11" s="43" t="s">
        <v>76</v>
      </c>
      <c r="C11" s="43" t="s">
        <v>83</v>
      </c>
    </row>
    <row r="12" spans="1:3" x14ac:dyDescent="0.25">
      <c r="A12" s="44" t="s">
        <v>10</v>
      </c>
      <c r="B12" s="43" t="s">
        <v>76</v>
      </c>
      <c r="C12" s="43" t="s">
        <v>83</v>
      </c>
    </row>
    <row r="13" spans="1:3" x14ac:dyDescent="0.25">
      <c r="A13" s="44" t="s">
        <v>11</v>
      </c>
      <c r="B13" s="43" t="s">
        <v>76</v>
      </c>
      <c r="C13" s="43" t="s">
        <v>83</v>
      </c>
    </row>
    <row r="14" spans="1:3" x14ac:dyDescent="0.25">
      <c r="A14" s="44" t="s">
        <v>12</v>
      </c>
      <c r="B14" s="43" t="s">
        <v>76</v>
      </c>
      <c r="C14" s="43" t="s">
        <v>83</v>
      </c>
    </row>
    <row r="15" spans="1:3" x14ac:dyDescent="0.25">
      <c r="A15" s="44" t="s">
        <v>13</v>
      </c>
      <c r="B15" s="43" t="s">
        <v>75</v>
      </c>
      <c r="C15" s="43" t="s">
        <v>77</v>
      </c>
    </row>
    <row r="16" spans="1:3" x14ac:dyDescent="0.25">
      <c r="A16" s="44" t="s">
        <v>14</v>
      </c>
      <c r="B16" s="43" t="s">
        <v>75</v>
      </c>
      <c r="C16" s="43" t="s">
        <v>82</v>
      </c>
    </row>
    <row r="17" spans="1:3" x14ac:dyDescent="0.25">
      <c r="A17" s="44" t="s">
        <v>15</v>
      </c>
      <c r="B17" s="43" t="s">
        <v>75</v>
      </c>
      <c r="C17" s="43" t="s">
        <v>82</v>
      </c>
    </row>
    <row r="18" spans="1:3" x14ac:dyDescent="0.25">
      <c r="A18" s="42" t="s">
        <v>70</v>
      </c>
      <c r="B18" s="43" t="s">
        <v>73</v>
      </c>
      <c r="C18" s="43" t="s">
        <v>79</v>
      </c>
    </row>
    <row r="19" spans="1:3" x14ac:dyDescent="0.25">
      <c r="A19" s="42" t="s">
        <v>66</v>
      </c>
      <c r="B19" s="43" t="s">
        <v>73</v>
      </c>
      <c r="C19" s="43" t="s">
        <v>80</v>
      </c>
    </row>
    <row r="20" spans="1:3" x14ac:dyDescent="0.25">
      <c r="A20" s="44" t="s">
        <v>71</v>
      </c>
      <c r="B20" s="43" t="s">
        <v>75</v>
      </c>
      <c r="C20" s="43" t="s">
        <v>82</v>
      </c>
    </row>
    <row r="21" spans="1:3" x14ac:dyDescent="0.25">
      <c r="A21" s="44" t="s">
        <v>72</v>
      </c>
      <c r="B21" s="43" t="s">
        <v>75</v>
      </c>
      <c r="C21" s="43" t="s">
        <v>82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26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jazmin.marviconfort@gmail.com</dc:creator>
  <cp:lastModifiedBy>Equipo de computo</cp:lastModifiedBy>
  <dcterms:created xsi:type="dcterms:W3CDTF">2026-05-19T16:41:51Z</dcterms:created>
  <dcterms:modified xsi:type="dcterms:W3CDTF">2026-05-26T22:37:29Z</dcterms:modified>
</cp:coreProperties>
</file>